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ibat\Downloads\"/>
    </mc:Choice>
  </mc:AlternateContent>
  <xr:revisionPtr revIDLastSave="0" documentId="8_{3F7E8FB1-1EA2-4284-B903-2AD8567D763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cile Analysis" sheetId="1" r:id="rId1"/>
    <sheet name="Cohort Analysis" sheetId="2" r:id="rId2"/>
    <sheet name="3 coh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5" i="3" l="1"/>
  <c r="E35" i="3"/>
  <c r="D35" i="3"/>
  <c r="C35" i="3"/>
  <c r="K34" i="3"/>
  <c r="G34" i="3"/>
  <c r="E34" i="3"/>
  <c r="D34" i="3"/>
  <c r="C34" i="3"/>
  <c r="K33" i="3"/>
  <c r="G33" i="3"/>
  <c r="E33" i="3"/>
  <c r="D33" i="3"/>
  <c r="C33" i="3"/>
  <c r="K32" i="3"/>
  <c r="G32" i="3"/>
  <c r="E32" i="3"/>
  <c r="D32" i="3"/>
  <c r="C32" i="3"/>
  <c r="K31" i="3"/>
  <c r="G31" i="3"/>
  <c r="E31" i="3"/>
  <c r="D31" i="3"/>
  <c r="C31" i="3"/>
  <c r="K30" i="3"/>
  <c r="G30" i="3"/>
  <c r="E30" i="3"/>
  <c r="D30" i="3"/>
  <c r="C30" i="3"/>
  <c r="K29" i="3"/>
  <c r="G29" i="3"/>
  <c r="E29" i="3"/>
  <c r="D29" i="3"/>
  <c r="C29" i="3"/>
  <c r="K28" i="3"/>
  <c r="G28" i="3"/>
  <c r="E28" i="3"/>
  <c r="D28" i="3"/>
  <c r="C28" i="3"/>
  <c r="K27" i="3"/>
  <c r="G27" i="3"/>
  <c r="E27" i="3"/>
  <c r="D27" i="3"/>
  <c r="C27" i="3"/>
  <c r="I26" i="3"/>
  <c r="L25" i="3"/>
  <c r="I25" i="3"/>
  <c r="F25" i="3"/>
  <c r="E25" i="3"/>
  <c r="C25" i="3"/>
  <c r="F24" i="3"/>
  <c r="E24" i="3"/>
  <c r="C24" i="3"/>
  <c r="I23" i="3"/>
  <c r="K22" i="3"/>
  <c r="H22" i="3"/>
  <c r="E22" i="3"/>
  <c r="Y17" i="3"/>
  <c r="X17" i="3"/>
  <c r="W17" i="3"/>
  <c r="O17" i="3"/>
  <c r="N17" i="3"/>
  <c r="M17" i="3"/>
  <c r="E17" i="3"/>
  <c r="D17" i="3"/>
  <c r="C17" i="3"/>
  <c r="AC16" i="3"/>
  <c r="M35" i="3" s="1"/>
  <c r="AB16" i="3"/>
  <c r="J35" i="3" s="1"/>
  <c r="AA16" i="3"/>
  <c r="G35" i="3" s="1"/>
  <c r="Z16" i="3"/>
  <c r="S16" i="3"/>
  <c r="L35" i="3" s="1"/>
  <c r="R16" i="3"/>
  <c r="I35" i="3" s="1"/>
  <c r="Q16" i="3"/>
  <c r="F35" i="3" s="1"/>
  <c r="P16" i="3"/>
  <c r="I16" i="3"/>
  <c r="H16" i="3"/>
  <c r="H35" i="3" s="1"/>
  <c r="G16" i="3"/>
  <c r="F16" i="3"/>
  <c r="B35" i="3" s="1"/>
  <c r="AC15" i="3"/>
  <c r="M34" i="3" s="1"/>
  <c r="AB15" i="3"/>
  <c r="J34" i="3" s="1"/>
  <c r="AA15" i="3"/>
  <c r="Z15" i="3"/>
  <c r="S15" i="3"/>
  <c r="L34" i="3" s="1"/>
  <c r="R15" i="3"/>
  <c r="I34" i="3" s="1"/>
  <c r="Q15" i="3"/>
  <c r="F34" i="3" s="1"/>
  <c r="P15" i="3"/>
  <c r="I15" i="3"/>
  <c r="H15" i="3"/>
  <c r="H34" i="3" s="1"/>
  <c r="G15" i="3"/>
  <c r="F15" i="3"/>
  <c r="B34" i="3" s="1"/>
  <c r="AC14" i="3"/>
  <c r="M33" i="3" s="1"/>
  <c r="AB14" i="3"/>
  <c r="J33" i="3" s="1"/>
  <c r="AA14" i="3"/>
  <c r="Z14" i="3"/>
  <c r="S14" i="3"/>
  <c r="L33" i="3" s="1"/>
  <c r="R14" i="3"/>
  <c r="I33" i="3" s="1"/>
  <c r="Q14" i="3"/>
  <c r="F33" i="3" s="1"/>
  <c r="P14" i="3"/>
  <c r="I14" i="3"/>
  <c r="H14" i="3"/>
  <c r="H33" i="3" s="1"/>
  <c r="G14" i="3"/>
  <c r="F14" i="3"/>
  <c r="B33" i="3" s="1"/>
  <c r="AC13" i="3"/>
  <c r="M32" i="3" s="1"/>
  <c r="AB13" i="3"/>
  <c r="J32" i="3" s="1"/>
  <c r="AA13" i="3"/>
  <c r="Z13" i="3"/>
  <c r="S13" i="3"/>
  <c r="L32" i="3" s="1"/>
  <c r="R13" i="3"/>
  <c r="I32" i="3" s="1"/>
  <c r="Q13" i="3"/>
  <c r="F32" i="3" s="1"/>
  <c r="P13" i="3"/>
  <c r="I13" i="3"/>
  <c r="H13" i="3"/>
  <c r="H32" i="3" s="1"/>
  <c r="G13" i="3"/>
  <c r="F13" i="3"/>
  <c r="B32" i="3" s="1"/>
  <c r="AC12" i="3"/>
  <c r="M31" i="3" s="1"/>
  <c r="AB12" i="3"/>
  <c r="J31" i="3" s="1"/>
  <c r="AA12" i="3"/>
  <c r="Z12" i="3"/>
  <c r="S12" i="3"/>
  <c r="L31" i="3" s="1"/>
  <c r="R12" i="3"/>
  <c r="I31" i="3" s="1"/>
  <c r="Q12" i="3"/>
  <c r="F31" i="3" s="1"/>
  <c r="P12" i="3"/>
  <c r="I12" i="3"/>
  <c r="H12" i="3"/>
  <c r="H31" i="3" s="1"/>
  <c r="G12" i="3"/>
  <c r="F12" i="3"/>
  <c r="B31" i="3" s="1"/>
  <c r="AC11" i="3"/>
  <c r="M30" i="3" s="1"/>
  <c r="AB11" i="3"/>
  <c r="J30" i="3" s="1"/>
  <c r="AA11" i="3"/>
  <c r="Z11" i="3"/>
  <c r="S11" i="3"/>
  <c r="L30" i="3" s="1"/>
  <c r="R11" i="3"/>
  <c r="I30" i="3" s="1"/>
  <c r="Q11" i="3"/>
  <c r="F30" i="3" s="1"/>
  <c r="P11" i="3"/>
  <c r="I11" i="3"/>
  <c r="H11" i="3"/>
  <c r="H30" i="3" s="1"/>
  <c r="G11" i="3"/>
  <c r="F11" i="3"/>
  <c r="B30" i="3" s="1"/>
  <c r="AC10" i="3"/>
  <c r="M29" i="3" s="1"/>
  <c r="AB10" i="3"/>
  <c r="J29" i="3" s="1"/>
  <c r="AA10" i="3"/>
  <c r="Z10" i="3"/>
  <c r="S10" i="3"/>
  <c r="L29" i="3" s="1"/>
  <c r="R10" i="3"/>
  <c r="I29" i="3" s="1"/>
  <c r="Q10" i="3"/>
  <c r="F29" i="3" s="1"/>
  <c r="P10" i="3"/>
  <c r="I10" i="3"/>
  <c r="H10" i="3"/>
  <c r="H29" i="3" s="1"/>
  <c r="G10" i="3"/>
  <c r="F10" i="3"/>
  <c r="B29" i="3" s="1"/>
  <c r="AC9" i="3"/>
  <c r="M28" i="3" s="1"/>
  <c r="AB9" i="3"/>
  <c r="J28" i="3" s="1"/>
  <c r="AA9" i="3"/>
  <c r="Z9" i="3"/>
  <c r="S9" i="3"/>
  <c r="L28" i="3" s="1"/>
  <c r="R9" i="3"/>
  <c r="I28" i="3" s="1"/>
  <c r="Q9" i="3"/>
  <c r="F28" i="3" s="1"/>
  <c r="P9" i="3"/>
  <c r="I9" i="3"/>
  <c r="H9" i="3"/>
  <c r="H28" i="3" s="1"/>
  <c r="G9" i="3"/>
  <c r="F9" i="3"/>
  <c r="B28" i="3" s="1"/>
  <c r="AC8" i="3"/>
  <c r="M27" i="3" s="1"/>
  <c r="AB8" i="3"/>
  <c r="J27" i="3" s="1"/>
  <c r="AA8" i="3"/>
  <c r="Z8" i="3"/>
  <c r="S8" i="3"/>
  <c r="L27" i="3" s="1"/>
  <c r="R8" i="3"/>
  <c r="I27" i="3" s="1"/>
  <c r="Q8" i="3"/>
  <c r="F27" i="3" s="1"/>
  <c r="P8" i="3"/>
  <c r="I8" i="3"/>
  <c r="H8" i="3"/>
  <c r="H27" i="3" s="1"/>
  <c r="G8" i="3"/>
  <c r="F8" i="3"/>
  <c r="B27" i="3" s="1"/>
  <c r="S7" i="3"/>
  <c r="L26" i="3" s="1"/>
  <c r="R7" i="3"/>
  <c r="Q7" i="3"/>
  <c r="F26" i="3" s="1"/>
  <c r="P7" i="3"/>
  <c r="C26" i="3" s="1"/>
  <c r="I7" i="3"/>
  <c r="K26" i="3" s="1"/>
  <c r="H7" i="3"/>
  <c r="H26" i="3" s="1"/>
  <c r="G7" i="3"/>
  <c r="E26" i="3" s="1"/>
  <c r="F7" i="3"/>
  <c r="B26" i="3" s="1"/>
  <c r="S6" i="3"/>
  <c r="R6" i="3"/>
  <c r="Q6" i="3"/>
  <c r="P6" i="3"/>
  <c r="I6" i="3"/>
  <c r="K25" i="3" s="1"/>
  <c r="H6" i="3"/>
  <c r="H25" i="3" s="1"/>
  <c r="G6" i="3"/>
  <c r="F6" i="3"/>
  <c r="B25" i="3" s="1"/>
  <c r="S5" i="3"/>
  <c r="L24" i="3" s="1"/>
  <c r="R5" i="3"/>
  <c r="I24" i="3" s="1"/>
  <c r="Q5" i="3"/>
  <c r="P5" i="3"/>
  <c r="I5" i="3"/>
  <c r="K24" i="3" s="1"/>
  <c r="H5" i="3"/>
  <c r="H24" i="3" s="1"/>
  <c r="G5" i="3"/>
  <c r="F5" i="3"/>
  <c r="B24" i="3" s="1"/>
  <c r="S4" i="3"/>
  <c r="L23" i="3" s="1"/>
  <c r="R4" i="3"/>
  <c r="Q4" i="3"/>
  <c r="F23" i="3" s="1"/>
  <c r="P4" i="3"/>
  <c r="C23" i="3" s="1"/>
  <c r="I4" i="3"/>
  <c r="K23" i="3" s="1"/>
  <c r="H4" i="3"/>
  <c r="H23" i="3" s="1"/>
  <c r="G4" i="3"/>
  <c r="E23" i="3" s="1"/>
  <c r="F4" i="3"/>
  <c r="B23" i="3" s="1"/>
  <c r="I3" i="3"/>
  <c r="H3" i="3"/>
  <c r="G3" i="3"/>
  <c r="F3" i="3"/>
  <c r="B22" i="3" s="1"/>
  <c r="J17" i="2"/>
  <c r="I17" i="2"/>
  <c r="H17" i="2"/>
  <c r="F17" i="2"/>
  <c r="G17" i="2" s="1"/>
  <c r="J16" i="2"/>
  <c r="I16" i="2"/>
  <c r="H16" i="2"/>
  <c r="F16" i="2"/>
  <c r="G16" i="2" s="1"/>
  <c r="J15" i="2"/>
  <c r="I15" i="2"/>
  <c r="H15" i="2"/>
  <c r="G15" i="2"/>
  <c r="F15" i="2"/>
  <c r="J14" i="2"/>
  <c r="I14" i="2"/>
  <c r="H14" i="2"/>
  <c r="F14" i="2"/>
  <c r="G14" i="2" s="1"/>
  <c r="J13" i="2"/>
  <c r="I13" i="2"/>
  <c r="H13" i="2"/>
  <c r="F13" i="2"/>
  <c r="G13" i="2" s="1"/>
  <c r="J12" i="2"/>
  <c r="I12" i="2"/>
  <c r="H12" i="2"/>
  <c r="F12" i="2"/>
  <c r="G12" i="2" s="1"/>
  <c r="J11" i="2"/>
  <c r="I11" i="2"/>
  <c r="H11" i="2"/>
  <c r="G11" i="2"/>
  <c r="F11" i="2"/>
  <c r="J10" i="2"/>
  <c r="I10" i="2"/>
  <c r="H10" i="2"/>
  <c r="F10" i="2"/>
  <c r="G10" i="2" s="1"/>
  <c r="J9" i="2"/>
  <c r="I9" i="2"/>
  <c r="H9" i="2"/>
  <c r="G9" i="2"/>
  <c r="F9" i="2"/>
  <c r="J8" i="2"/>
  <c r="I8" i="2"/>
  <c r="H8" i="2"/>
  <c r="F8" i="2"/>
  <c r="G8" i="2" s="1"/>
  <c r="J7" i="2"/>
  <c r="I7" i="2"/>
  <c r="H7" i="2"/>
  <c r="G7" i="2"/>
  <c r="F7" i="2"/>
  <c r="J6" i="2"/>
  <c r="I6" i="2"/>
  <c r="H6" i="2"/>
  <c r="F6" i="2"/>
  <c r="G6" i="2" s="1"/>
  <c r="J5" i="2"/>
  <c r="I5" i="2"/>
  <c r="H5" i="2"/>
  <c r="F5" i="2"/>
  <c r="G5" i="2" s="1"/>
  <c r="J4" i="2"/>
  <c r="I4" i="2"/>
  <c r="H4" i="2"/>
  <c r="F4" i="2"/>
  <c r="G4" i="2" s="1"/>
  <c r="J3" i="2"/>
  <c r="I3" i="2"/>
  <c r="H3" i="2"/>
  <c r="G3" i="2"/>
  <c r="F3" i="2"/>
  <c r="J2" i="2"/>
  <c r="I2" i="2"/>
  <c r="H2" i="2"/>
  <c r="F2" i="2"/>
  <c r="G2" i="2" s="1"/>
  <c r="B25" i="1"/>
  <c r="B24" i="1"/>
  <c r="B23" i="1"/>
  <c r="C22" i="1"/>
  <c r="B22" i="1"/>
  <c r="B21" i="1"/>
  <c r="B20" i="1"/>
  <c r="B19" i="1"/>
  <c r="B18" i="1"/>
  <c r="B17" i="1"/>
  <c r="C16" i="1"/>
  <c r="B16" i="1"/>
  <c r="E12" i="1"/>
  <c r="C21" i="1" s="1"/>
  <c r="D12" i="1"/>
  <c r="H12" i="1" s="1"/>
  <c r="C12" i="1"/>
  <c r="G10" i="1" s="1"/>
  <c r="B12" i="1"/>
  <c r="F9" i="1" s="1"/>
  <c r="N11" i="1"/>
  <c r="M11" i="1"/>
  <c r="L11" i="1"/>
  <c r="K11" i="1"/>
  <c r="J11" i="1"/>
  <c r="G11" i="1"/>
  <c r="F11" i="1"/>
  <c r="N10" i="1"/>
  <c r="M10" i="1"/>
  <c r="L10" i="1"/>
  <c r="K10" i="1"/>
  <c r="J10" i="1"/>
  <c r="N9" i="1"/>
  <c r="M9" i="1"/>
  <c r="L9" i="1"/>
  <c r="K9" i="1"/>
  <c r="J9" i="1"/>
  <c r="H9" i="1"/>
  <c r="G9" i="1"/>
  <c r="N8" i="1"/>
  <c r="M8" i="1"/>
  <c r="L8" i="1"/>
  <c r="K8" i="1"/>
  <c r="J8" i="1"/>
  <c r="H8" i="1"/>
  <c r="G8" i="1"/>
  <c r="F8" i="1"/>
  <c r="N7" i="1"/>
  <c r="M7" i="1"/>
  <c r="L7" i="1"/>
  <c r="K7" i="1"/>
  <c r="J7" i="1"/>
  <c r="G7" i="1"/>
  <c r="F7" i="1"/>
  <c r="N6" i="1"/>
  <c r="M6" i="1"/>
  <c r="L6" i="1"/>
  <c r="K6" i="1"/>
  <c r="J6" i="1"/>
  <c r="N5" i="1"/>
  <c r="M5" i="1"/>
  <c r="L5" i="1"/>
  <c r="K5" i="1"/>
  <c r="J5" i="1"/>
  <c r="H5" i="1"/>
  <c r="G5" i="1"/>
  <c r="N4" i="1"/>
  <c r="M4" i="1"/>
  <c r="L4" i="1"/>
  <c r="K4" i="1"/>
  <c r="J4" i="1"/>
  <c r="H4" i="1"/>
  <c r="G4" i="1"/>
  <c r="F4" i="1"/>
  <c r="N3" i="1"/>
  <c r="M3" i="1"/>
  <c r="L3" i="1"/>
  <c r="K3" i="1"/>
  <c r="J3" i="1"/>
  <c r="G3" i="1"/>
  <c r="F3" i="1"/>
  <c r="N2" i="1"/>
  <c r="M2" i="1"/>
  <c r="L2" i="1"/>
  <c r="K2" i="1"/>
  <c r="J2" i="1"/>
  <c r="I5" i="1" l="1"/>
  <c r="I9" i="1"/>
  <c r="C17" i="1"/>
  <c r="C23" i="1"/>
  <c r="H3" i="1"/>
  <c r="H7" i="1"/>
  <c r="H11" i="1"/>
  <c r="G12" i="1"/>
  <c r="C19" i="1"/>
  <c r="C25" i="1"/>
  <c r="I4" i="1"/>
  <c r="F12" i="1"/>
  <c r="F2" i="1"/>
  <c r="I7" i="1"/>
  <c r="G2" i="1"/>
  <c r="G6" i="1"/>
  <c r="I12" i="1"/>
  <c r="C20" i="1"/>
  <c r="C26" i="1"/>
  <c r="F6" i="1"/>
  <c r="H2" i="1"/>
  <c r="H6" i="1"/>
  <c r="H10" i="1"/>
  <c r="M12" i="1"/>
  <c r="I8" i="1"/>
  <c r="C18" i="1"/>
  <c r="C24" i="1"/>
  <c r="I3" i="1"/>
  <c r="F10" i="1"/>
  <c r="I11" i="1"/>
  <c r="B26" i="1"/>
  <c r="I2" i="1"/>
  <c r="F5" i="1"/>
  <c r="I6" i="1"/>
  <c r="I10" i="1"/>
  <c r="N12" i="1"/>
</calcChain>
</file>

<file path=xl/sharedStrings.xml><?xml version="1.0" encoding="utf-8"?>
<sst xmlns="http://schemas.openxmlformats.org/spreadsheetml/2006/main" count="144" uniqueCount="41">
  <si>
    <t>Decile</t>
  </si>
  <si>
    <t># Customers</t>
  </si>
  <si>
    <t>Total Transactions</t>
  </si>
  <si>
    <t>Revenue</t>
  </si>
  <si>
    <t>Profit</t>
  </si>
  <si>
    <t>Average revenue per customer</t>
  </si>
  <si>
    <t>Average profit per customer</t>
  </si>
  <si>
    <t>AOF AVerage order frequency</t>
  </si>
  <si>
    <t>Order Value =Revenue/Transactions</t>
  </si>
  <si>
    <t>Average Margin =Profit/Revenue</t>
  </si>
  <si>
    <t>TOTAL</t>
  </si>
  <si>
    <t>SUM of Profit</t>
  </si>
  <si>
    <t>Общий итог</t>
  </si>
  <si>
    <t>Quarter</t>
  </si>
  <si>
    <t>% active</t>
  </si>
  <si>
    <t>Cumulative Attrition rate</t>
  </si>
  <si>
    <t>Avg spend/active customer</t>
  </si>
  <si>
    <t>AOF</t>
  </si>
  <si>
    <t>AOV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</si>
  <si>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</si>
  <si>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</si>
  <si>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</si>
  <si>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</si>
  <si>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</si>
  <si>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</si>
  <si>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</si>
  <si>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</si>
  <si>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</si>
  <si>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</si>
  <si>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</si>
  <si>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</si>
  <si>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</si>
  <si>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</si>
  <si>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</si>
  <si>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</si>
  <si>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Q3 2021</t>
  </si>
  <si>
    <t>Q4 2021</t>
  </si>
  <si>
    <t>Q4 2022</t>
  </si>
  <si>
    <t>Average Revenue Per customer</t>
  </si>
  <si>
    <t>Combine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</si>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</sst>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$-409]#,##0"/>
    <numFmt numFmtId="166" formatCode="&quot;$&quot;#,##0.00"/>
  </numFmts>
  <fonts count="11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1"/>
      <color rgb="FFC00000"/>
      <name val="Calibri"/>
    </font>
    <font>
      <b/>
      <sz val="13"/>
      <color theme="1"/>
      <name val="Calibri"/>
    </font>
    <font>
      <b/>
      <sz val="10"/>
      <color rgb="FF000000"/>
      <name val="Arial"/>
    </font>
    <font>
      <sz val="11"/>
      <color rgb="FF000000"/>
      <name val="Calibri"/>
    </font>
    <font>
      <b/>
      <sz val="10"/>
      <color rgb="FFFFFFFF"/>
      <name val="Arial"/>
    </font>
    <font>
      <b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B8CCE4"/>
        <bgColor rgb="FFB8CCE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1"/>
  </cellStyleXfs>
  <cellXfs count="89">
    <xf numFmtId="0" fontId="0" fillId="0" borderId="0" xfId="0" applyBorder="1"/>
    <xf numFmtId="0" fontId="1" fillId="2" borderId="1" xfId="0" applyFont="1" applyFill="1" applyAlignment="1">
      <alignment horizontal="right"/>
    </xf>
    <xf numFmtId="3" fontId="1" fillId="2" borderId="1" xfId="0" applyNumberFormat="1" applyFont="1" applyFill="1" applyAlignment="1">
      <alignment horizontal="right"/>
    </xf>
    <xf numFmtId="10" fontId="2" fillId="0" borderId="0" xfId="0" applyNumberFormat="1" applyFont="1" applyBorder="1" applyAlignment="1">
      <alignment horizontal="right"/>
    </xf>
    <xf numFmtId="4" fontId="2" fillId="0" borderId="0" xfId="0" applyNumberFormat="1" applyFont="1" applyBorder="1"/>
    <xf numFmtId="4" fontId="2" fillId="0" borderId="0" xfId="0" applyNumberFormat="1" applyFont="1" applyBorder="1" applyAlignment="1">
      <alignment horizontal="right"/>
    </xf>
    <xf numFmtId="0" fontId="3" fillId="0" borderId="2" xfId="0" applyFont="1" applyBorder="1"/>
    <xf numFmtId="0" fontId="3" fillId="0" borderId="3" xfId="0" applyFont="1" applyBorder="1"/>
    <xf numFmtId="0" fontId="3" fillId="0" borderId="2" xfId="0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10" fontId="3" fillId="0" borderId="3" xfId="0" applyNumberFormat="1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/>
    <xf numFmtId="0" fontId="1" fillId="2" borderId="1" xfId="0" applyFont="1" applyFill="1" applyAlignment="1">
      <alignment horizontal="right" wrapText="1"/>
    </xf>
    <xf numFmtId="0" fontId="3" fillId="3" borderId="6" xfId="0" applyFont="1" applyFill="1" applyBorder="1" applyAlignment="1">
      <alignment horizontal="right"/>
    </xf>
    <xf numFmtId="0" fontId="3" fillId="3" borderId="6" xfId="0" applyFont="1" applyFill="1" applyBorder="1"/>
    <xf numFmtId="10" fontId="4" fillId="0" borderId="0" xfId="0" applyNumberFormat="1" applyFont="1" applyBorder="1"/>
    <xf numFmtId="0" fontId="5" fillId="0" borderId="0" xfId="0" applyFont="1" applyBorder="1" applyAlignment="1">
      <alignment horizontal="center"/>
    </xf>
    <xf numFmtId="0" fontId="2" fillId="0" borderId="0" xfId="0" applyFont="1" applyBorder="1"/>
    <xf numFmtId="4" fontId="1" fillId="2" borderId="1" xfId="0" applyNumberFormat="1" applyFont="1" applyFill="1" applyAlignment="1">
      <alignment horizontal="right" wrapText="1"/>
    </xf>
    <xf numFmtId="0" fontId="6" fillId="4" borderId="7" xfId="0" applyFont="1" applyFill="1" applyBorder="1" applyAlignment="1">
      <alignment horizontal="center" wrapText="1"/>
    </xf>
    <xf numFmtId="4" fontId="1" fillId="2" borderId="1" xfId="0" applyNumberFormat="1" applyFont="1" applyFill="1" applyAlignment="1">
      <alignment horizontal="right"/>
    </xf>
    <xf numFmtId="10" fontId="1" fillId="5" borderId="8" xfId="0" applyNumberFormat="1" applyFont="1" applyFill="1" applyBorder="1" applyAlignment="1">
      <alignment horizontal="right"/>
    </xf>
    <xf numFmtId="2" fontId="1" fillId="5" borderId="8" xfId="0" applyNumberFormat="1" applyFont="1" applyFill="1" applyBorder="1" applyAlignment="1">
      <alignment horizontal="right"/>
    </xf>
    <xf numFmtId="4" fontId="1" fillId="5" borderId="0" xfId="0" applyNumberFormat="1" applyFont="1" applyFill="1" applyBorder="1" applyAlignment="1">
      <alignment horizontal="right"/>
    </xf>
    <xf numFmtId="166" fontId="1" fillId="5" borderId="8" xfId="0" applyNumberFormat="1" applyFont="1" applyFill="1" applyBorder="1" applyAlignment="1">
      <alignment horizontal="right"/>
    </xf>
    <xf numFmtId="0" fontId="2" fillId="2" borderId="1" xfId="0" applyFont="1" applyFill="1"/>
    <xf numFmtId="3" fontId="2" fillId="2" borderId="1" xfId="0" applyNumberFormat="1" applyFont="1" applyFill="1"/>
    <xf numFmtId="2" fontId="2" fillId="5" borderId="8" xfId="0" applyNumberFormat="1" applyFont="1" applyFill="1" applyBorder="1"/>
    <xf numFmtId="4" fontId="2" fillId="5" borderId="0" xfId="0" applyNumberFormat="1" applyFont="1" applyFill="1" applyBorder="1"/>
    <xf numFmtId="166" fontId="2" fillId="5" borderId="8" xfId="0" applyNumberFormat="1" applyFont="1" applyFill="1" applyBorder="1"/>
    <xf numFmtId="1" fontId="2" fillId="0" borderId="8" xfId="0" applyNumberFormat="1" applyFont="1" applyBorder="1"/>
    <xf numFmtId="4" fontId="2" fillId="6" borderId="0" xfId="0" applyNumberFormat="1" applyFont="1" applyFill="1" applyBorder="1"/>
    <xf numFmtId="9" fontId="2" fillId="0" borderId="8" xfId="0" applyNumberFormat="1" applyFont="1" applyBorder="1"/>
    <xf numFmtId="0" fontId="3" fillId="0" borderId="0" xfId="0" applyFont="1" applyBorder="1"/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right"/>
    </xf>
    <xf numFmtId="10" fontId="3" fillId="3" borderId="12" xfId="0" applyNumberFormat="1" applyFont="1" applyFill="1" applyBorder="1" applyAlignment="1">
      <alignment horizontal="right"/>
    </xf>
    <xf numFmtId="10" fontId="3" fillId="3" borderId="0" xfId="0" applyNumberFormat="1" applyFont="1" applyFill="1" applyBorder="1" applyAlignment="1">
      <alignment horizontal="center"/>
    </xf>
    <xf numFmtId="10" fontId="3" fillId="3" borderId="13" xfId="0" applyNumberFormat="1" applyFont="1" applyFill="1" applyBorder="1" applyAlignment="1">
      <alignment horizontal="center"/>
    </xf>
    <xf numFmtId="2" fontId="3" fillId="3" borderId="0" xfId="0" applyNumberFormat="1" applyFont="1" applyFill="1" applyBorder="1" applyAlignment="1">
      <alignment horizontal="right"/>
    </xf>
    <xf numFmtId="0" fontId="3" fillId="3" borderId="0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2" fontId="3" fillId="3" borderId="0" xfId="0" applyNumberFormat="1" applyFont="1" applyFill="1" applyBorder="1" applyAlignment="1">
      <alignment horizontal="center"/>
    </xf>
    <xf numFmtId="2" fontId="3" fillId="3" borderId="13" xfId="0" applyNumberFormat="1" applyFont="1" applyFill="1" applyBorder="1" applyAlignment="1">
      <alignment horizontal="center"/>
    </xf>
    <xf numFmtId="10" fontId="3" fillId="3" borderId="0" xfId="0" applyNumberFormat="1" applyFont="1" applyFill="1" applyBorder="1" applyAlignment="1">
      <alignment horizontal="right"/>
    </xf>
    <xf numFmtId="10" fontId="3" fillId="3" borderId="13" xfId="0" applyNumberFormat="1" applyFont="1" applyFill="1" applyBorder="1" applyAlignment="1">
      <alignment horizontal="right"/>
    </xf>
    <xf numFmtId="2" fontId="3" fillId="3" borderId="13" xfId="0" applyNumberFormat="1" applyFont="1" applyFill="1" applyBorder="1" applyAlignment="1">
      <alignment horizontal="right"/>
    </xf>
    <xf numFmtId="0" fontId="8" fillId="2" borderId="14" xfId="0" applyFont="1" applyFill="1" applyBorder="1" applyAlignment="1">
      <alignment horizontal="right"/>
    </xf>
    <xf numFmtId="2" fontId="3" fillId="3" borderId="6" xfId="0" applyNumberFormat="1" applyFont="1" applyFill="1" applyBorder="1" applyAlignment="1">
      <alignment horizontal="right"/>
    </xf>
    <xf numFmtId="2" fontId="4" fillId="0" borderId="0" xfId="0" applyNumberFormat="1" applyFont="1" applyBorder="1"/>
    <xf numFmtId="2" fontId="0" fillId="0" borderId="0" xfId="0" applyNumberFormat="1" applyBorder="1"/>
    <xf numFmtId="0" fontId="7" fillId="2" borderId="0" xfId="0" applyFont="1" applyFill="1" applyBorder="1"/>
    <xf numFmtId="0" fontId="0" fillId="0" borderId="0" xfId="0" applyBorder="1"/>
    <xf numFmtId="0" fontId="1" fillId="2" borderId="8" xfId="0" applyFont="1" applyFill="1" applyBorder="1" applyAlignment="1">
      <alignment horizontal="right"/>
    </xf>
    <xf numFmtId="3" fontId="1" fillId="2" borderId="8" xfId="0" applyNumberFormat="1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3" fontId="1" fillId="2" borderId="14" xfId="0" applyNumberFormat="1" applyFont="1" applyFill="1" applyBorder="1" applyAlignment="1">
      <alignment horizontal="right"/>
    </xf>
    <xf numFmtId="4" fontId="1" fillId="2" borderId="14" xfId="0" applyNumberFormat="1" applyFont="1" applyFill="1" applyBorder="1" applyAlignment="1">
      <alignment horizontal="right"/>
    </xf>
    <xf numFmtId="0" fontId="9" fillId="7" borderId="0" xfId="0" applyFont="1" applyFill="1" applyBorder="1" applyAlignment="1">
      <alignment horizontal="center"/>
    </xf>
    <xf numFmtId="10" fontId="9" fillId="7" borderId="0" xfId="0" applyNumberFormat="1" applyFont="1" applyFill="1" applyBorder="1" applyAlignment="1">
      <alignment horizontal="center"/>
    </xf>
    <xf numFmtId="0" fontId="1" fillId="8" borderId="1" xfId="0" applyFont="1" applyFill="1" applyAlignment="1">
      <alignment horizontal="right"/>
    </xf>
    <xf numFmtId="3" fontId="1" fillId="8" borderId="1" xfId="0" applyNumberFormat="1" applyFont="1" applyFill="1" applyAlignment="1">
      <alignment horizontal="right"/>
    </xf>
    <xf numFmtId="9" fontId="2" fillId="8" borderId="0" xfId="0" applyNumberFormat="1" applyFont="1" applyFill="1" applyBorder="1" applyAlignment="1">
      <alignment horizontal="right"/>
    </xf>
    <xf numFmtId="10" fontId="2" fillId="8" borderId="0" xfId="0" applyNumberFormat="1" applyFont="1" applyFill="1" applyBorder="1" applyAlignment="1">
      <alignment horizontal="right"/>
    </xf>
    <xf numFmtId="4" fontId="2" fillId="8" borderId="0" xfId="0" applyNumberFormat="1" applyFont="1" applyFill="1" applyBorder="1" applyAlignment="1">
      <alignment horizontal="right"/>
    </xf>
    <xf numFmtId="164" fontId="2" fillId="8" borderId="0" xfId="0" applyNumberFormat="1" applyFont="1" applyFill="1" applyBorder="1" applyAlignment="1">
      <alignment horizontal="right"/>
    </xf>
    <xf numFmtId="165" fontId="2" fillId="8" borderId="0" xfId="0" applyNumberFormat="1" applyFont="1" applyFill="1" applyBorder="1" applyAlignment="1">
      <alignment horizontal="right"/>
    </xf>
    <xf numFmtId="0" fontId="1" fillId="9" borderId="8" xfId="0" applyFont="1" applyFill="1" applyBorder="1" applyAlignment="1">
      <alignment horizontal="right"/>
    </xf>
    <xf numFmtId="3" fontId="1" fillId="9" borderId="8" xfId="0" applyNumberFormat="1" applyFont="1" applyFill="1" applyBorder="1" applyAlignment="1">
      <alignment horizontal="right"/>
    </xf>
    <xf numFmtId="9" fontId="2" fillId="9" borderId="0" xfId="0" applyNumberFormat="1" applyFont="1" applyFill="1" applyBorder="1" applyAlignment="1">
      <alignment horizontal="right"/>
    </xf>
    <xf numFmtId="10" fontId="2" fillId="9" borderId="0" xfId="0" applyNumberFormat="1" applyFont="1" applyFill="1" applyBorder="1" applyAlignment="1">
      <alignment horizontal="right"/>
    </xf>
    <xf numFmtId="4" fontId="2" fillId="9" borderId="0" xfId="0" applyNumberFormat="1" applyFont="1" applyFill="1" applyBorder="1" applyAlignment="1">
      <alignment horizontal="right"/>
    </xf>
    <xf numFmtId="164" fontId="2" fillId="9" borderId="0" xfId="0" applyNumberFormat="1" applyFont="1" applyFill="1" applyBorder="1" applyAlignment="1">
      <alignment horizontal="right"/>
    </xf>
    <xf numFmtId="165" fontId="2" fillId="9" borderId="0" xfId="0" applyNumberFormat="1" applyFont="1" applyFill="1" applyBorder="1" applyAlignment="1">
      <alignment horizontal="right"/>
    </xf>
    <xf numFmtId="0" fontId="1" fillId="9" borderId="1" xfId="0" applyFont="1" applyFill="1" applyAlignment="1">
      <alignment horizontal="right"/>
    </xf>
    <xf numFmtId="3" fontId="1" fillId="9" borderId="1" xfId="0" applyNumberFormat="1" applyFont="1" applyFill="1" applyAlignment="1">
      <alignment horizontal="right"/>
    </xf>
    <xf numFmtId="0" fontId="10" fillId="10" borderId="14" xfId="0" applyFont="1" applyFill="1" applyBorder="1"/>
    <xf numFmtId="3" fontId="10" fillId="10" borderId="14" xfId="0" applyNumberFormat="1" applyFont="1" applyFill="1" applyBorder="1" applyAlignment="1">
      <alignment horizontal="right"/>
    </xf>
    <xf numFmtId="9" fontId="10" fillId="10" borderId="0" xfId="0" applyNumberFormat="1" applyFont="1" applyFill="1" applyBorder="1" applyAlignment="1">
      <alignment horizontal="right"/>
    </xf>
    <xf numFmtId="10" fontId="10" fillId="10" borderId="0" xfId="0" applyNumberFormat="1" applyFont="1" applyFill="1" applyBorder="1" applyAlignment="1">
      <alignment horizontal="right"/>
    </xf>
    <xf numFmtId="4" fontId="10" fillId="10" borderId="0" xfId="0" applyNumberFormat="1" applyFont="1" applyFill="1" applyBorder="1"/>
    <xf numFmtId="4" fontId="10" fillId="10" borderId="0" xfId="0" applyNumberFormat="1" applyFont="1" applyFill="1" applyBorder="1" applyAlignment="1">
      <alignment horizontal="right"/>
    </xf>
    <xf numFmtId="164" fontId="10" fillId="10" borderId="0" xfId="0" applyNumberFormat="1" applyFont="1" applyFill="1" applyBorder="1" applyAlignment="1">
      <alignment horizontal="right"/>
    </xf>
    <xf numFmtId="165" fontId="10" fillId="10" borderId="0" xfId="0" applyNumberFormat="1" applyFont="1" applyFill="1" applyBorder="1" applyAlignment="1">
      <alignment horizontal="right"/>
    </xf>
    <xf numFmtId="0" fontId="7" fillId="2" borderId="1" xfId="0" applyFont="1" applyFill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SUM of Profit and SUM of Profit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'Decile Analysis'!$B$15</c:f>
              <c:strCache>
                <c:ptCount val="1"/>
                <c:pt idx="0">
                  <c:v>SUM of Profit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285F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202-44DA-8B48-C39BAC9C894F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202-44DA-8B48-C39BAC9C894F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202-44DA-8B48-C39BAC9C894F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202-44DA-8B48-C39BAC9C894F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202-44DA-8B48-C39BAC9C894F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5202-44DA-8B48-C39BAC9C894F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5202-44DA-8B48-C39BAC9C894F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5202-44DA-8B48-C39BAC9C894F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5202-44DA-8B48-C39BAC9C894F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5202-44DA-8B48-C39BAC9C894F}"/>
              </c:ext>
            </c:extLst>
          </c:dPt>
          <c:cat>
            <c:numRef>
              <c:f>'Decile Analysis'!$A$16:$A$25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'Decile Analysis'!$B$16:$B$25</c:f>
              <c:numCache>
                <c:formatCode>#,##0</c:formatCode>
                <c:ptCount val="10"/>
                <c:pt idx="0">
                  <c:v>62160175</c:v>
                </c:pt>
                <c:pt idx="1">
                  <c:v>27079030</c:v>
                </c:pt>
                <c:pt idx="2">
                  <c:v>18722055</c:v>
                </c:pt>
                <c:pt idx="3">
                  <c:v>13916595</c:v>
                </c:pt>
                <c:pt idx="4">
                  <c:v>10734405</c:v>
                </c:pt>
                <c:pt idx="5">
                  <c:v>7948270</c:v>
                </c:pt>
                <c:pt idx="6">
                  <c:v>6240025</c:v>
                </c:pt>
                <c:pt idx="7">
                  <c:v>4326685</c:v>
                </c:pt>
                <c:pt idx="8">
                  <c:v>3334100</c:v>
                </c:pt>
                <c:pt idx="9">
                  <c:v>1554795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202-44DA-8B48-C39BAC9C8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KZ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'Cohort Analysis'!$F$1</c:f>
              <c:strCache>
                <c:ptCount val="1"/>
                <c:pt idx="0">
                  <c:v>% active</c:v>
                </c:pt>
              </c:strCache>
            </c:strRef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none"/>
          </c:marker>
          <c:cat>
            <c:strRef>
              <c:f>'Cohort Analysis'!$A$2:$A$17</c:f>
              <c:strCache>
                <c:ptCount val="16"/>
                <c:pt idx="0">
                  <c:v>2021Q1</c:v>
                </c:pt>
                <c:pt idx="1">
                  <c:v>2021Q2</c:v>
                </c:pt>
                <c:pt idx="2">
                  <c:v>2021Q3</c:v>
                </c:pt>
                <c:pt idx="3">
                  <c:v>2021Q4</c:v>
                </c:pt>
                <c:pt idx="4">
                  <c:v>2022Q1</c:v>
                </c:pt>
                <c:pt idx="5">
                  <c:v>2022Q2</c:v>
                </c:pt>
                <c:pt idx="6">
                  <c:v>2022Q3</c:v>
                </c:pt>
                <c:pt idx="7">
                  <c:v>2022Q4</c:v>
                </c:pt>
                <c:pt idx="8">
                  <c:v>2023Q1</c:v>
                </c:pt>
                <c:pt idx="9">
                  <c:v>2023Q2</c:v>
                </c:pt>
                <c:pt idx="10">
                  <c:v>2023Q3</c:v>
                </c:pt>
                <c:pt idx="11">
                  <c:v>2023Q4</c:v>
                </c:pt>
                <c:pt idx="12">
                  <c:v>2024Q1</c:v>
                </c:pt>
                <c:pt idx="13">
                  <c:v>2024Q2</c:v>
                </c:pt>
                <c:pt idx="14">
                  <c:v>2024Q3</c:v>
                </c:pt>
                <c:pt idx="15">
                  <c:v>2024Q4</c:v>
                </c:pt>
              </c:strCache>
            </c:strRef>
          </c:cat>
          <c:val>
            <c:numRef>
              <c:f>'Cohort Analysis'!$F$2:$F$17</c:f>
              <c:numCache>
                <c:formatCode>0.00%</c:formatCode>
                <c:ptCount val="16"/>
                <c:pt idx="0">
                  <c:v>1</c:v>
                </c:pt>
                <c:pt idx="1">
                  <c:v>0.11756710839279647</c:v>
                </c:pt>
                <c:pt idx="2">
                  <c:v>0.10635406048250085</c:v>
                </c:pt>
                <c:pt idx="3">
                  <c:v>0.16479782534828408</c:v>
                </c:pt>
                <c:pt idx="4">
                  <c:v>0.10057764186204553</c:v>
                </c:pt>
                <c:pt idx="5">
                  <c:v>9.717974855589534E-2</c:v>
                </c:pt>
                <c:pt idx="6">
                  <c:v>8.3248386000679575E-2</c:v>
                </c:pt>
                <c:pt idx="7">
                  <c:v>0.14271151885830785</c:v>
                </c:pt>
                <c:pt idx="8">
                  <c:v>0.10601427115188583</c:v>
                </c:pt>
                <c:pt idx="9">
                  <c:v>9.5480801902820253E-2</c:v>
                </c:pt>
                <c:pt idx="10">
                  <c:v>7.4753652735304113E-2</c:v>
                </c:pt>
                <c:pt idx="11">
                  <c:v>0.1216445803601767</c:v>
                </c:pt>
                <c:pt idx="12">
                  <c:v>8.290859667006456E-2</c:v>
                </c:pt>
                <c:pt idx="13">
                  <c:v>8.0190282025144416E-2</c:v>
                </c:pt>
                <c:pt idx="14">
                  <c:v>6.8297655453618752E-2</c:v>
                </c:pt>
                <c:pt idx="15">
                  <c:v>0.1199456337071016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18-48B0-8EA3-BC0674FC6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218240"/>
        <c:axId val="214220160"/>
      </c:lineChart>
      <c:catAx>
        <c:axId val="214218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/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214220160"/>
        <c:crosses val="autoZero"/>
        <c:auto val="1"/>
        <c:lblAlgn val="ctr"/>
        <c:lblOffset val="100"/>
        <c:noMultiLvlLbl val="1"/>
      </c:catAx>
      <c:valAx>
        <c:axId val="2142201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/>
                  <a:t>None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KZ"/>
          </a:p>
        </c:txPr>
        <c:crossAx val="21421824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KZ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809625</xdr:colOff>
      <xdr:row>12</xdr:row>
      <xdr:rowOff>180975</xdr:rowOff>
    </xdr:from>
    <xdr:ext cx="4819650" cy="29813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104775</xdr:colOff>
      <xdr:row>1</xdr:row>
      <xdr:rowOff>47625</xdr:rowOff>
    </xdr:from>
    <xdr:ext cx="5715000" cy="3533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6"/>
  <sheetViews>
    <sheetView tabSelected="1" workbookViewId="0">
      <selection activeCell="C28" sqref="C28"/>
    </sheetView>
  </sheetViews>
  <sheetFormatPr defaultColWidth="12.6640625" defaultRowHeight="15.75" customHeight="1" x14ac:dyDescent="0.25"/>
  <cols>
    <col min="1" max="1" width="14.6640625" style="55" customWidth="1"/>
  </cols>
  <sheetData>
    <row r="1" spans="1:14" ht="15.75" customHeight="1" x14ac:dyDescent="0.25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2" t="s">
        <v>1</v>
      </c>
      <c r="G1" s="61" t="s">
        <v>2</v>
      </c>
      <c r="H1" s="61" t="s">
        <v>3</v>
      </c>
      <c r="I1" s="61" t="s">
        <v>4</v>
      </c>
      <c r="J1" s="61" t="s">
        <v>5</v>
      </c>
      <c r="K1" s="61" t="s">
        <v>6</v>
      </c>
      <c r="L1" s="61" t="s">
        <v>7</v>
      </c>
      <c r="M1" s="61" t="s">
        <v>8</v>
      </c>
      <c r="N1" s="61" t="s">
        <v>9</v>
      </c>
    </row>
    <row r="2" spans="1:14" ht="15.75" customHeight="1" x14ac:dyDescent="0.3">
      <c r="A2" s="63">
        <v>1</v>
      </c>
      <c r="B2" s="64">
        <v>3180</v>
      </c>
      <c r="C2" s="64">
        <v>17503</v>
      </c>
      <c r="D2" s="64">
        <v>128952505</v>
      </c>
      <c r="E2" s="64">
        <v>62160175</v>
      </c>
      <c r="F2" s="65">
        <f t="shared" ref="F2:F12" si="0">B2/B$12</f>
        <v>0.10000943485234456</v>
      </c>
      <c r="G2" s="66">
        <f t="shared" ref="G2:G12" si="1">C2/C$12</f>
        <v>0.28571661769507017</v>
      </c>
      <c r="H2" s="66">
        <f t="shared" ref="H2:H12" si="2">D2/D$12</f>
        <v>0.39604497423316032</v>
      </c>
      <c r="I2" s="66">
        <f t="shared" ref="I2:I12" si="3">E2/E$12</f>
        <v>0.39842145172997651</v>
      </c>
      <c r="J2" s="67">
        <f t="shared" ref="J2:J11" si="4">D2/B2</f>
        <v>40551.102201257861</v>
      </c>
      <c r="K2" s="67">
        <f t="shared" ref="K2:K11" si="5">E2/B2</f>
        <v>19547.224842767297</v>
      </c>
      <c r="L2" s="68">
        <f t="shared" ref="L2:L11" si="6">C2/B2</f>
        <v>5.5040880503144658</v>
      </c>
      <c r="M2" s="69">
        <f t="shared" ref="M2:M11" si="7">D2/C2</f>
        <v>7367.4515797291897</v>
      </c>
      <c r="N2" s="65">
        <f t="shared" ref="N2:N11" si="8">E2/D2</f>
        <v>0.48203929811212276</v>
      </c>
    </row>
    <row r="3" spans="1:14" ht="15.75" customHeight="1" x14ac:dyDescent="0.3">
      <c r="A3" s="70">
        <v>2</v>
      </c>
      <c r="B3" s="71">
        <v>3180</v>
      </c>
      <c r="C3" s="71">
        <v>8703</v>
      </c>
      <c r="D3" s="71">
        <v>55542905</v>
      </c>
      <c r="E3" s="71">
        <v>27079030</v>
      </c>
      <c r="F3" s="72">
        <f t="shared" si="0"/>
        <v>0.10000943485234456</v>
      </c>
      <c r="G3" s="73">
        <f t="shared" si="1"/>
        <v>0.14206660137120469</v>
      </c>
      <c r="H3" s="73">
        <f t="shared" si="2"/>
        <v>0.17058597178519233</v>
      </c>
      <c r="I3" s="73">
        <f t="shared" si="3"/>
        <v>0.17356557384273108</v>
      </c>
      <c r="J3" s="74">
        <f t="shared" si="4"/>
        <v>17466.322327044025</v>
      </c>
      <c r="K3" s="74">
        <f t="shared" si="5"/>
        <v>8515.4182389937105</v>
      </c>
      <c r="L3" s="75">
        <f t="shared" si="6"/>
        <v>2.7367924528301888</v>
      </c>
      <c r="M3" s="76">
        <f t="shared" si="7"/>
        <v>6382.0412501436285</v>
      </c>
      <c r="N3" s="72">
        <f t="shared" si="8"/>
        <v>0.48753355626609735</v>
      </c>
    </row>
    <row r="4" spans="1:14" ht="15.75" customHeight="1" x14ac:dyDescent="0.3">
      <c r="A4" s="63">
        <v>3</v>
      </c>
      <c r="B4" s="64">
        <v>3177</v>
      </c>
      <c r="C4" s="64">
        <v>6345</v>
      </c>
      <c r="D4" s="64">
        <v>38274225</v>
      </c>
      <c r="E4" s="64">
        <v>18722055</v>
      </c>
      <c r="F4" s="65">
        <f t="shared" si="0"/>
        <v>9.991508632889895E-2</v>
      </c>
      <c r="G4" s="66">
        <f t="shared" si="1"/>
        <v>0.10357492654260529</v>
      </c>
      <c r="H4" s="66">
        <f t="shared" si="2"/>
        <v>0.11754959280487945</v>
      </c>
      <c r="I4" s="66">
        <f t="shared" si="3"/>
        <v>0.12000076145970415</v>
      </c>
      <c r="J4" s="67">
        <f t="shared" si="4"/>
        <v>12047.285174693106</v>
      </c>
      <c r="K4" s="67">
        <f t="shared" si="5"/>
        <v>5892.9981114258735</v>
      </c>
      <c r="L4" s="68">
        <f t="shared" si="6"/>
        <v>1.9971671388101984</v>
      </c>
      <c r="M4" s="69">
        <f t="shared" si="7"/>
        <v>6032.1867612293145</v>
      </c>
      <c r="N4" s="65">
        <f t="shared" si="8"/>
        <v>0.48915569159140387</v>
      </c>
    </row>
    <row r="5" spans="1:14" ht="15.75" customHeight="1" x14ac:dyDescent="0.3">
      <c r="A5" s="77">
        <v>4</v>
      </c>
      <c r="B5" s="78">
        <v>3178</v>
      </c>
      <c r="C5" s="78">
        <v>5349</v>
      </c>
      <c r="D5" s="78">
        <v>29017010</v>
      </c>
      <c r="E5" s="78">
        <v>13916595</v>
      </c>
      <c r="F5" s="72">
        <f t="shared" si="0"/>
        <v>9.9946535836714159E-2</v>
      </c>
      <c r="G5" s="73">
        <f t="shared" si="1"/>
        <v>8.7316356513222337E-2</v>
      </c>
      <c r="H5" s="73">
        <f t="shared" si="2"/>
        <v>8.9118400435674788E-2</v>
      </c>
      <c r="I5" s="73">
        <f t="shared" si="3"/>
        <v>8.9199716426765732E-2</v>
      </c>
      <c r="J5" s="74">
        <f t="shared" si="4"/>
        <v>9130.5884203901824</v>
      </c>
      <c r="K5" s="74">
        <f t="shared" si="5"/>
        <v>4379.0418502202647</v>
      </c>
      <c r="L5" s="75">
        <f t="shared" si="6"/>
        <v>1.6831340465701699</v>
      </c>
      <c r="M5" s="76">
        <f t="shared" si="7"/>
        <v>5424.7541596560104</v>
      </c>
      <c r="N5" s="72">
        <f t="shared" si="8"/>
        <v>0.47960127525199875</v>
      </c>
    </row>
    <row r="6" spans="1:14" ht="15.75" customHeight="1" x14ac:dyDescent="0.3">
      <c r="A6" s="63">
        <v>5</v>
      </c>
      <c r="B6" s="64">
        <v>3183</v>
      </c>
      <c r="C6" s="64">
        <v>4683</v>
      </c>
      <c r="D6" s="64">
        <v>22555225</v>
      </c>
      <c r="E6" s="64">
        <v>10734405</v>
      </c>
      <c r="F6" s="65">
        <f t="shared" si="0"/>
        <v>0.10010378337579016</v>
      </c>
      <c r="G6" s="66">
        <f t="shared" si="1"/>
        <v>7.6444662095984328E-2</v>
      </c>
      <c r="H6" s="66">
        <f t="shared" si="2"/>
        <v>6.9272663636492635E-2</v>
      </c>
      <c r="I6" s="66">
        <f t="shared" si="3"/>
        <v>6.880317218472308E-2</v>
      </c>
      <c r="J6" s="67">
        <f t="shared" si="4"/>
        <v>7086.1530003141688</v>
      </c>
      <c r="K6" s="67">
        <f t="shared" si="5"/>
        <v>3372.4175306314796</v>
      </c>
      <c r="L6" s="68">
        <f t="shared" si="6"/>
        <v>1.4712535344015081</v>
      </c>
      <c r="M6" s="69">
        <f t="shared" si="7"/>
        <v>4816.4050822122572</v>
      </c>
      <c r="N6" s="65">
        <f t="shared" si="8"/>
        <v>0.47591655591996979</v>
      </c>
    </row>
    <row r="7" spans="1:14" ht="15.75" customHeight="1" x14ac:dyDescent="0.3">
      <c r="A7" s="77">
        <v>6</v>
      </c>
      <c r="B7" s="78">
        <v>3124</v>
      </c>
      <c r="C7" s="78">
        <v>4330</v>
      </c>
      <c r="D7" s="78">
        <v>17169955</v>
      </c>
      <c r="E7" s="78">
        <v>7948270</v>
      </c>
      <c r="F7" s="72">
        <f t="shared" si="0"/>
        <v>9.8248262414693213E-2</v>
      </c>
      <c r="G7" s="73">
        <f t="shared" si="1"/>
        <v>7.0682337577538362E-2</v>
      </c>
      <c r="H7" s="73">
        <f t="shared" si="2"/>
        <v>5.273317013546594E-2</v>
      </c>
      <c r="I7" s="73">
        <f t="shared" si="3"/>
        <v>5.0945179484160406E-2</v>
      </c>
      <c r="J7" s="74">
        <f t="shared" si="4"/>
        <v>5496.1443661971834</v>
      </c>
      <c r="K7" s="74">
        <f t="shared" si="5"/>
        <v>2544.2605633802818</v>
      </c>
      <c r="L7" s="75">
        <f t="shared" si="6"/>
        <v>1.3860435339308579</v>
      </c>
      <c r="M7" s="76">
        <f t="shared" si="7"/>
        <v>3965.3475750577368</v>
      </c>
      <c r="N7" s="72">
        <f t="shared" si="8"/>
        <v>0.46291734602682416</v>
      </c>
    </row>
    <row r="8" spans="1:14" ht="15.75" customHeight="1" x14ac:dyDescent="0.3">
      <c r="A8" s="63">
        <v>7</v>
      </c>
      <c r="B8" s="64">
        <v>3233</v>
      </c>
      <c r="C8" s="64">
        <v>4004</v>
      </c>
      <c r="D8" s="64">
        <v>13470710</v>
      </c>
      <c r="E8" s="64">
        <v>6240025</v>
      </c>
      <c r="F8" s="65">
        <f t="shared" si="0"/>
        <v>0.1016762587665503</v>
      </c>
      <c r="G8" s="66">
        <f t="shared" si="1"/>
        <v>6.5360757427358793E-2</v>
      </c>
      <c r="H8" s="66">
        <f t="shared" si="2"/>
        <v>4.1371875597549464E-2</v>
      </c>
      <c r="I8" s="66">
        <f t="shared" si="3"/>
        <v>3.999602348821165E-2</v>
      </c>
      <c r="J8" s="67">
        <f t="shared" si="4"/>
        <v>4166.6285184039589</v>
      </c>
      <c r="K8" s="67">
        <f t="shared" si="5"/>
        <v>1930.1036189297865</v>
      </c>
      <c r="L8" s="68">
        <f t="shared" si="6"/>
        <v>1.238478193628209</v>
      </c>
      <c r="M8" s="69">
        <f t="shared" si="7"/>
        <v>3364.3131868131868</v>
      </c>
      <c r="N8" s="65">
        <f t="shared" si="8"/>
        <v>0.4632291096757335</v>
      </c>
    </row>
    <row r="9" spans="1:14" ht="15.75" customHeight="1" x14ac:dyDescent="0.3">
      <c r="A9" s="77">
        <v>8</v>
      </c>
      <c r="B9" s="78">
        <v>2996</v>
      </c>
      <c r="C9" s="78">
        <v>3414</v>
      </c>
      <c r="D9" s="78">
        <v>9381075</v>
      </c>
      <c r="E9" s="78">
        <v>4326685</v>
      </c>
      <c r="F9" s="72">
        <f t="shared" si="0"/>
        <v>9.4222725414347272E-2</v>
      </c>
      <c r="G9" s="73">
        <f t="shared" si="1"/>
        <v>5.5729676787463274E-2</v>
      </c>
      <c r="H9" s="73">
        <f t="shared" si="2"/>
        <v>2.8811597003519589E-2</v>
      </c>
      <c r="I9" s="73">
        <f t="shared" si="3"/>
        <v>2.7732291919678694E-2</v>
      </c>
      <c r="J9" s="74">
        <f t="shared" si="4"/>
        <v>3131.1999332443256</v>
      </c>
      <c r="K9" s="74">
        <f t="shared" si="5"/>
        <v>1444.1538718291056</v>
      </c>
      <c r="L9" s="75">
        <f t="shared" si="6"/>
        <v>1.1395193591455273</v>
      </c>
      <c r="M9" s="76">
        <f t="shared" si="7"/>
        <v>2747.8251318101934</v>
      </c>
      <c r="N9" s="72">
        <f t="shared" si="8"/>
        <v>0.46121419986515405</v>
      </c>
    </row>
    <row r="10" spans="1:14" ht="15.75" customHeight="1" x14ac:dyDescent="0.3">
      <c r="A10" s="63">
        <v>9</v>
      </c>
      <c r="B10" s="64">
        <v>3360</v>
      </c>
      <c r="C10" s="64">
        <v>3659</v>
      </c>
      <c r="D10" s="64">
        <v>7496500</v>
      </c>
      <c r="E10" s="64">
        <v>3334100</v>
      </c>
      <c r="F10" s="65">
        <f t="shared" si="0"/>
        <v>0.10567034625908105</v>
      </c>
      <c r="G10" s="66">
        <f t="shared" si="1"/>
        <v>5.972902383284362E-2</v>
      </c>
      <c r="H10" s="66">
        <f t="shared" si="2"/>
        <v>2.3023601979185179E-2</v>
      </c>
      <c r="I10" s="66">
        <f t="shared" si="3"/>
        <v>2.1370225585962632E-2</v>
      </c>
      <c r="J10" s="67">
        <f t="shared" si="4"/>
        <v>2231.1011904761904</v>
      </c>
      <c r="K10" s="67">
        <f t="shared" si="5"/>
        <v>992.29166666666663</v>
      </c>
      <c r="L10" s="68">
        <f t="shared" si="6"/>
        <v>1.0889880952380953</v>
      </c>
      <c r="M10" s="69">
        <f t="shared" si="7"/>
        <v>2048.7838207160426</v>
      </c>
      <c r="N10" s="65">
        <f t="shared" si="8"/>
        <v>0.44475421863536319</v>
      </c>
    </row>
    <row r="11" spans="1:14" ht="15.75" customHeight="1" x14ac:dyDescent="0.3">
      <c r="A11" s="77">
        <v>10</v>
      </c>
      <c r="B11" s="78">
        <v>3186</v>
      </c>
      <c r="C11" s="78">
        <v>3270</v>
      </c>
      <c r="D11" s="78">
        <v>3740550</v>
      </c>
      <c r="E11" s="78">
        <v>1554795</v>
      </c>
      <c r="F11" s="72">
        <f t="shared" si="0"/>
        <v>0.10019813189923578</v>
      </c>
      <c r="G11" s="73">
        <f t="shared" si="1"/>
        <v>5.3379040156709107E-2</v>
      </c>
      <c r="H11" s="73">
        <f t="shared" si="2"/>
        <v>1.1488152388880292E-2</v>
      </c>
      <c r="I11" s="73">
        <f t="shared" si="3"/>
        <v>9.9656038780860708E-3</v>
      </c>
      <c r="J11" s="74">
        <f t="shared" si="4"/>
        <v>1174.0583804143125</v>
      </c>
      <c r="K11" s="74">
        <f t="shared" si="5"/>
        <v>488.00847457627117</v>
      </c>
      <c r="L11" s="75">
        <f t="shared" si="6"/>
        <v>1.0263653483992468</v>
      </c>
      <c r="M11" s="76">
        <f t="shared" si="7"/>
        <v>1143.8990825688074</v>
      </c>
      <c r="N11" s="72">
        <f t="shared" si="8"/>
        <v>0.4156594618438465</v>
      </c>
    </row>
    <row r="12" spans="1:14" ht="15.75" customHeight="1" x14ac:dyDescent="0.25">
      <c r="A12" s="79" t="s">
        <v>10</v>
      </c>
      <c r="B12" s="80">
        <f>SUM(B2:B11)</f>
        <v>31797</v>
      </c>
      <c r="C12" s="80">
        <f>SUM(C2:C11)</f>
        <v>61260</v>
      </c>
      <c r="D12" s="80">
        <f>SUM(D2:D11)</f>
        <v>325600660</v>
      </c>
      <c r="E12" s="80">
        <f>SUM(E2:E11)</f>
        <v>156016135</v>
      </c>
      <c r="F12" s="81">
        <f t="shared" si="0"/>
        <v>1</v>
      </c>
      <c r="G12" s="82">
        <f t="shared" si="1"/>
        <v>1</v>
      </c>
      <c r="H12" s="82">
        <f t="shared" si="2"/>
        <v>1</v>
      </c>
      <c r="I12" s="82">
        <f t="shared" si="3"/>
        <v>1</v>
      </c>
      <c r="J12" s="83"/>
      <c r="K12" s="84">
        <v>4906.6306569802182</v>
      </c>
      <c r="L12" s="85">
        <v>1.926596848759317</v>
      </c>
      <c r="M12" s="86">
        <f>D12/C12</f>
        <v>5315.0613777342478</v>
      </c>
      <c r="N12" s="81">
        <f>E12/D12</f>
        <v>0.47916406250527871</v>
      </c>
    </row>
    <row r="15" spans="1:14" ht="13.2" x14ac:dyDescent="0.25">
      <c r="A15" s="6" t="s">
        <v>0</v>
      </c>
      <c r="B15" s="6" t="s">
        <v>11</v>
      </c>
      <c r="C15" s="7" t="s">
        <v>11</v>
      </c>
    </row>
    <row r="16" spans="1:14" ht="13.2" x14ac:dyDescent="0.25">
      <c r="A16" s="8">
        <v>1</v>
      </c>
      <c r="B16" s="9">
        <f t="shared" ref="B16:B26" si="9">E2</f>
        <v>62160175</v>
      </c>
      <c r="C16" s="10">
        <f t="shared" ref="C16:C26" si="10">E2/E$12</f>
        <v>0.39842145172997651</v>
      </c>
    </row>
    <row r="17" spans="1:3" ht="13.2" x14ac:dyDescent="0.25">
      <c r="A17" s="11">
        <v>2</v>
      </c>
      <c r="B17" s="9">
        <f t="shared" si="9"/>
        <v>27079030</v>
      </c>
      <c r="C17" s="10">
        <f t="shared" si="10"/>
        <v>0.17356557384273108</v>
      </c>
    </row>
    <row r="18" spans="1:3" ht="13.2" x14ac:dyDescent="0.25">
      <c r="A18" s="11">
        <v>3</v>
      </c>
      <c r="B18" s="9">
        <f t="shared" si="9"/>
        <v>18722055</v>
      </c>
      <c r="C18" s="10">
        <f t="shared" si="10"/>
        <v>0.12000076145970415</v>
      </c>
    </row>
    <row r="19" spans="1:3" ht="13.2" x14ac:dyDescent="0.25">
      <c r="A19" s="11">
        <v>4</v>
      </c>
      <c r="B19" s="9">
        <f t="shared" si="9"/>
        <v>13916595</v>
      </c>
      <c r="C19" s="10">
        <f t="shared" si="10"/>
        <v>8.9199716426765732E-2</v>
      </c>
    </row>
    <row r="20" spans="1:3" ht="13.2" x14ac:dyDescent="0.25">
      <c r="A20" s="11">
        <v>5</v>
      </c>
      <c r="B20" s="9">
        <f t="shared" si="9"/>
        <v>10734405</v>
      </c>
      <c r="C20" s="10">
        <f t="shared" si="10"/>
        <v>6.880317218472308E-2</v>
      </c>
    </row>
    <row r="21" spans="1:3" ht="13.2" x14ac:dyDescent="0.25">
      <c r="A21" s="11">
        <v>6</v>
      </c>
      <c r="B21" s="9">
        <f t="shared" si="9"/>
        <v>7948270</v>
      </c>
      <c r="C21" s="10">
        <f t="shared" si="10"/>
        <v>5.0945179484160406E-2</v>
      </c>
    </row>
    <row r="22" spans="1:3" ht="13.2" x14ac:dyDescent="0.25">
      <c r="A22" s="11">
        <v>7</v>
      </c>
      <c r="B22" s="9">
        <f t="shared" si="9"/>
        <v>6240025</v>
      </c>
      <c r="C22" s="10">
        <f t="shared" si="10"/>
        <v>3.999602348821165E-2</v>
      </c>
    </row>
    <row r="23" spans="1:3" ht="13.2" x14ac:dyDescent="0.25">
      <c r="A23" s="11">
        <v>8</v>
      </c>
      <c r="B23" s="9">
        <f t="shared" si="9"/>
        <v>4326685</v>
      </c>
      <c r="C23" s="10">
        <f t="shared" si="10"/>
        <v>2.7732291919678694E-2</v>
      </c>
    </row>
    <row r="24" spans="1:3" ht="13.2" x14ac:dyDescent="0.25">
      <c r="A24" s="11">
        <v>9</v>
      </c>
      <c r="B24" s="9">
        <f t="shared" si="9"/>
        <v>3334100</v>
      </c>
      <c r="C24" s="10">
        <f t="shared" si="10"/>
        <v>2.1370225585962632E-2</v>
      </c>
    </row>
    <row r="25" spans="1:3" ht="13.2" x14ac:dyDescent="0.25">
      <c r="A25" s="11">
        <v>10</v>
      </c>
      <c r="B25" s="9">
        <f t="shared" si="9"/>
        <v>1554795</v>
      </c>
      <c r="C25" s="10">
        <f t="shared" si="10"/>
        <v>9.9656038780860708E-3</v>
      </c>
    </row>
    <row r="26" spans="1:3" ht="13.2" x14ac:dyDescent="0.25">
      <c r="A26" s="12" t="s">
        <v>12</v>
      </c>
      <c r="B26" s="9">
        <f t="shared" si="9"/>
        <v>156016135</v>
      </c>
      <c r="C26" s="10">
        <f t="shared" si="10"/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7"/>
  <sheetViews>
    <sheetView workbookViewId="0">
      <selection sqref="A1:J17"/>
    </sheetView>
  </sheetViews>
  <sheetFormatPr defaultColWidth="12.6640625" defaultRowHeight="15.75" customHeight="1" x14ac:dyDescent="0.25"/>
  <cols>
    <col min="8" max="10" width="12.6640625" style="53" customWidth="1"/>
  </cols>
  <sheetData>
    <row r="1" spans="1:10" ht="15.75" customHeight="1" x14ac:dyDescent="0.3">
      <c r="A1" s="13" t="s">
        <v>13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14</v>
      </c>
      <c r="G1" s="15" t="s">
        <v>15</v>
      </c>
      <c r="H1" s="51" t="s">
        <v>16</v>
      </c>
      <c r="I1" s="51" t="s">
        <v>17</v>
      </c>
      <c r="J1" s="51" t="s">
        <v>18</v>
      </c>
    </row>
    <row r="2" spans="1:10" ht="15.75" customHeight="1" x14ac:dyDescent="0.3">
      <c r="A2" s="56" t="s">
        <v>19</v>
      </c>
      <c r="B2" s="57">
        <v>2943</v>
      </c>
      <c r="C2" s="57">
        <v>3683</v>
      </c>
      <c r="D2" s="57">
        <v>21803980</v>
      </c>
      <c r="E2" s="57">
        <v>10398135</v>
      </c>
      <c r="F2" s="3">
        <f t="shared" ref="F2:F17" si="0">B2/$B$2</f>
        <v>1</v>
      </c>
      <c r="G2" s="16">
        <f t="shared" ref="G2:G17" si="1">1-F2</f>
        <v>0</v>
      </c>
      <c r="H2" s="52">
        <f t="shared" ref="H2:H17" si="2">D2/B2</f>
        <v>7408.759768943255</v>
      </c>
      <c r="I2" s="52">
        <f t="shared" ref="I2:I17" si="3">C2/B2</f>
        <v>1.2514441046551139</v>
      </c>
      <c r="J2" s="52">
        <f t="shared" ref="J2:J17" si="4">D2/C2</f>
        <v>5920.1683410263377</v>
      </c>
    </row>
    <row r="3" spans="1:10" ht="15.75" customHeight="1" x14ac:dyDescent="0.3">
      <c r="A3" s="1" t="s">
        <v>20</v>
      </c>
      <c r="B3" s="2">
        <v>346</v>
      </c>
      <c r="C3" s="2">
        <v>513</v>
      </c>
      <c r="D3" s="2">
        <v>2765015</v>
      </c>
      <c r="E3" s="2">
        <v>1386330</v>
      </c>
      <c r="F3" s="3">
        <f t="shared" si="0"/>
        <v>0.11756710839279647</v>
      </c>
      <c r="G3" s="16">
        <f t="shared" si="1"/>
        <v>0.88243289160720351</v>
      </c>
      <c r="H3" s="52">
        <f t="shared" si="2"/>
        <v>7991.3728323699424</v>
      </c>
      <c r="I3" s="52">
        <f t="shared" si="3"/>
        <v>1.4826589595375723</v>
      </c>
      <c r="J3" s="52">
        <f t="shared" si="4"/>
        <v>5389.8927875243662</v>
      </c>
    </row>
    <row r="4" spans="1:10" ht="15.75" customHeight="1" x14ac:dyDescent="0.3">
      <c r="A4" s="1" t="s">
        <v>21</v>
      </c>
      <c r="B4" s="2">
        <v>313</v>
      </c>
      <c r="C4" s="2">
        <v>451</v>
      </c>
      <c r="D4" s="2">
        <v>2352130</v>
      </c>
      <c r="E4" s="2">
        <v>1173700</v>
      </c>
      <c r="F4" s="3">
        <f t="shared" si="0"/>
        <v>0.10635406048250085</v>
      </c>
      <c r="G4" s="16">
        <f t="shared" si="1"/>
        <v>0.89364593951749915</v>
      </c>
      <c r="H4" s="52">
        <f t="shared" si="2"/>
        <v>7514.792332268371</v>
      </c>
      <c r="I4" s="52">
        <f t="shared" si="3"/>
        <v>1.4408945686900958</v>
      </c>
      <c r="J4" s="52">
        <f t="shared" si="4"/>
        <v>5215.3658536585363</v>
      </c>
    </row>
    <row r="5" spans="1:10" ht="15.75" customHeight="1" x14ac:dyDescent="0.3">
      <c r="A5" s="1" t="s">
        <v>22</v>
      </c>
      <c r="B5" s="2">
        <v>485</v>
      </c>
      <c r="C5" s="2">
        <v>819</v>
      </c>
      <c r="D5" s="2">
        <v>4692930</v>
      </c>
      <c r="E5" s="2">
        <v>2335300</v>
      </c>
      <c r="F5" s="3">
        <f t="shared" si="0"/>
        <v>0.16479782534828408</v>
      </c>
      <c r="G5" s="16">
        <f t="shared" si="1"/>
        <v>0.83520217465171598</v>
      </c>
      <c r="H5" s="52">
        <f t="shared" si="2"/>
        <v>9676.1443298969079</v>
      </c>
      <c r="I5" s="52">
        <f t="shared" si="3"/>
        <v>1.688659793814433</v>
      </c>
      <c r="J5" s="52">
        <f t="shared" si="4"/>
        <v>5730.0732600732599</v>
      </c>
    </row>
    <row r="6" spans="1:10" ht="15.75" customHeight="1" x14ac:dyDescent="0.3">
      <c r="A6" s="1" t="s">
        <v>23</v>
      </c>
      <c r="B6" s="2">
        <v>296</v>
      </c>
      <c r="C6" s="2">
        <v>435</v>
      </c>
      <c r="D6" s="2">
        <v>2411530</v>
      </c>
      <c r="E6" s="2">
        <v>1161600</v>
      </c>
      <c r="F6" s="3">
        <f t="shared" si="0"/>
        <v>0.10057764186204553</v>
      </c>
      <c r="G6" s="16">
        <f t="shared" si="1"/>
        <v>0.89942235813795446</v>
      </c>
      <c r="H6" s="52">
        <f t="shared" si="2"/>
        <v>8147.0608108108108</v>
      </c>
      <c r="I6" s="52">
        <f t="shared" si="3"/>
        <v>1.4695945945945945</v>
      </c>
      <c r="J6" s="52">
        <f t="shared" si="4"/>
        <v>5543.7471264367814</v>
      </c>
    </row>
    <row r="7" spans="1:10" ht="15.75" customHeight="1" x14ac:dyDescent="0.3">
      <c r="A7" s="1" t="s">
        <v>24</v>
      </c>
      <c r="B7" s="2">
        <v>286</v>
      </c>
      <c r="C7" s="2">
        <v>453</v>
      </c>
      <c r="D7" s="2">
        <v>2186470</v>
      </c>
      <c r="E7" s="2">
        <v>1074425</v>
      </c>
      <c r="F7" s="3">
        <f t="shared" si="0"/>
        <v>9.717974855589534E-2</v>
      </c>
      <c r="G7" s="16">
        <f t="shared" si="1"/>
        <v>0.9028202514441046</v>
      </c>
      <c r="H7" s="52">
        <f t="shared" si="2"/>
        <v>7645</v>
      </c>
      <c r="I7" s="52">
        <f t="shared" si="3"/>
        <v>1.583916083916084</v>
      </c>
      <c r="J7" s="52">
        <f t="shared" si="4"/>
        <v>4826.644591611479</v>
      </c>
    </row>
    <row r="8" spans="1:10" ht="15.75" customHeight="1" x14ac:dyDescent="0.3">
      <c r="A8" s="1" t="s">
        <v>25</v>
      </c>
      <c r="B8" s="2">
        <v>245</v>
      </c>
      <c r="C8" s="2">
        <v>396</v>
      </c>
      <c r="D8" s="2">
        <v>2040280</v>
      </c>
      <c r="E8" s="2">
        <v>988295</v>
      </c>
      <c r="F8" s="3">
        <f t="shared" si="0"/>
        <v>8.3248386000679575E-2</v>
      </c>
      <c r="G8" s="16">
        <f t="shared" si="1"/>
        <v>0.91675161399932037</v>
      </c>
      <c r="H8" s="52">
        <f t="shared" si="2"/>
        <v>8327.6734693877552</v>
      </c>
      <c r="I8" s="52">
        <f t="shared" si="3"/>
        <v>1.616326530612245</v>
      </c>
      <c r="J8" s="52">
        <f t="shared" si="4"/>
        <v>5152.2222222222226</v>
      </c>
    </row>
    <row r="9" spans="1:10" ht="15.75" customHeight="1" x14ac:dyDescent="0.3">
      <c r="A9" s="1" t="s">
        <v>26</v>
      </c>
      <c r="B9" s="2">
        <v>420</v>
      </c>
      <c r="C9" s="2">
        <v>808</v>
      </c>
      <c r="D9" s="2">
        <v>4619175</v>
      </c>
      <c r="E9" s="2">
        <v>2215950</v>
      </c>
      <c r="F9" s="3">
        <f t="shared" si="0"/>
        <v>0.14271151885830785</v>
      </c>
      <c r="G9" s="16">
        <f t="shared" si="1"/>
        <v>0.85728848114169209</v>
      </c>
      <c r="H9" s="52">
        <f t="shared" si="2"/>
        <v>10998.035714285714</v>
      </c>
      <c r="I9" s="52">
        <f t="shared" si="3"/>
        <v>1.9238095238095239</v>
      </c>
      <c r="J9" s="52">
        <f t="shared" si="4"/>
        <v>5716.8007425742571</v>
      </c>
    </row>
    <row r="10" spans="1:10" ht="15.75" customHeight="1" x14ac:dyDescent="0.3">
      <c r="A10" s="1" t="s">
        <v>27</v>
      </c>
      <c r="B10" s="2">
        <v>312</v>
      </c>
      <c r="C10" s="2">
        <v>481</v>
      </c>
      <c r="D10" s="2">
        <v>2391565</v>
      </c>
      <c r="E10" s="2">
        <v>1101815</v>
      </c>
      <c r="F10" s="3">
        <f t="shared" si="0"/>
        <v>0.10601427115188583</v>
      </c>
      <c r="G10" s="16">
        <f t="shared" si="1"/>
        <v>0.89398572884811411</v>
      </c>
      <c r="H10" s="52">
        <f t="shared" si="2"/>
        <v>7665.2724358974356</v>
      </c>
      <c r="I10" s="52">
        <f t="shared" si="3"/>
        <v>1.5416666666666667</v>
      </c>
      <c r="J10" s="52">
        <f t="shared" si="4"/>
        <v>4972.068607068607</v>
      </c>
    </row>
    <row r="11" spans="1:10" ht="15.75" customHeight="1" x14ac:dyDescent="0.3">
      <c r="A11" s="1" t="s">
        <v>28</v>
      </c>
      <c r="B11" s="2">
        <v>281</v>
      </c>
      <c r="C11" s="2">
        <v>462</v>
      </c>
      <c r="D11" s="2">
        <v>2061895</v>
      </c>
      <c r="E11" s="2">
        <v>960080</v>
      </c>
      <c r="F11" s="3">
        <f t="shared" si="0"/>
        <v>9.5480801902820253E-2</v>
      </c>
      <c r="G11" s="16">
        <f t="shared" si="1"/>
        <v>0.90451919809717973</v>
      </c>
      <c r="H11" s="52">
        <f t="shared" si="2"/>
        <v>7337.7046263345192</v>
      </c>
      <c r="I11" s="52">
        <f t="shared" si="3"/>
        <v>1.6441281138790036</v>
      </c>
      <c r="J11" s="52">
        <f t="shared" si="4"/>
        <v>4462.9761904761908</v>
      </c>
    </row>
    <row r="12" spans="1:10" ht="15.75" customHeight="1" x14ac:dyDescent="0.3">
      <c r="A12" s="1" t="s">
        <v>29</v>
      </c>
      <c r="B12" s="2">
        <v>220</v>
      </c>
      <c r="C12" s="2">
        <v>384</v>
      </c>
      <c r="D12" s="2">
        <v>1826220</v>
      </c>
      <c r="E12" s="2">
        <v>838310</v>
      </c>
      <c r="F12" s="3">
        <f t="shared" si="0"/>
        <v>7.4753652735304113E-2</v>
      </c>
      <c r="G12" s="16">
        <f t="shared" si="1"/>
        <v>0.9252463472646959</v>
      </c>
      <c r="H12" s="52">
        <f t="shared" si="2"/>
        <v>8301</v>
      </c>
      <c r="I12" s="52">
        <f t="shared" si="3"/>
        <v>1.7454545454545454</v>
      </c>
      <c r="J12" s="52">
        <f t="shared" si="4"/>
        <v>4755.78125</v>
      </c>
    </row>
    <row r="13" spans="1:10" ht="15.75" customHeight="1" x14ac:dyDescent="0.3">
      <c r="A13" s="1" t="s">
        <v>30</v>
      </c>
      <c r="B13" s="2">
        <v>358</v>
      </c>
      <c r="C13" s="2">
        <v>722</v>
      </c>
      <c r="D13" s="2">
        <v>3652880</v>
      </c>
      <c r="E13" s="2">
        <v>1726835</v>
      </c>
      <c r="F13" s="3">
        <f t="shared" si="0"/>
        <v>0.1216445803601767</v>
      </c>
      <c r="G13" s="16">
        <f t="shared" si="1"/>
        <v>0.87835541963982333</v>
      </c>
      <c r="H13" s="52">
        <f t="shared" si="2"/>
        <v>10203.575418994413</v>
      </c>
      <c r="I13" s="52">
        <f t="shared" si="3"/>
        <v>2.016759776536313</v>
      </c>
      <c r="J13" s="52">
        <f t="shared" si="4"/>
        <v>5059.3905817174518</v>
      </c>
    </row>
    <row r="14" spans="1:10" ht="15.75" customHeight="1" x14ac:dyDescent="0.3">
      <c r="A14" s="1" t="s">
        <v>31</v>
      </c>
      <c r="B14" s="2">
        <v>244</v>
      </c>
      <c r="C14" s="2">
        <v>397</v>
      </c>
      <c r="D14" s="2">
        <v>1945185</v>
      </c>
      <c r="E14" s="2">
        <v>908215</v>
      </c>
      <c r="F14" s="3">
        <f t="shared" si="0"/>
        <v>8.290859667006456E-2</v>
      </c>
      <c r="G14" s="16">
        <f t="shared" si="1"/>
        <v>0.91709140332993544</v>
      </c>
      <c r="H14" s="52">
        <f t="shared" si="2"/>
        <v>7972.0696721311479</v>
      </c>
      <c r="I14" s="52">
        <f t="shared" si="3"/>
        <v>1.6270491803278688</v>
      </c>
      <c r="J14" s="52">
        <f t="shared" si="4"/>
        <v>4899.7103274559195</v>
      </c>
    </row>
    <row r="15" spans="1:10" ht="15.75" customHeight="1" x14ac:dyDescent="0.3">
      <c r="A15" s="1" t="s">
        <v>32</v>
      </c>
      <c r="B15" s="2">
        <v>236</v>
      </c>
      <c r="C15" s="2">
        <v>390</v>
      </c>
      <c r="D15" s="2">
        <v>1882925</v>
      </c>
      <c r="E15" s="2">
        <v>884840</v>
      </c>
      <c r="F15" s="3">
        <f t="shared" si="0"/>
        <v>8.0190282025144416E-2</v>
      </c>
      <c r="G15" s="16">
        <f t="shared" si="1"/>
        <v>0.91980971797485556</v>
      </c>
      <c r="H15" s="52">
        <f t="shared" si="2"/>
        <v>7978.4957627118647</v>
      </c>
      <c r="I15" s="52">
        <f t="shared" si="3"/>
        <v>1.652542372881356</v>
      </c>
      <c r="J15" s="52">
        <f t="shared" si="4"/>
        <v>4828.0128205128203</v>
      </c>
    </row>
    <row r="16" spans="1:10" ht="15.75" customHeight="1" x14ac:dyDescent="0.3">
      <c r="A16" s="1" t="s">
        <v>33</v>
      </c>
      <c r="B16" s="2">
        <v>201</v>
      </c>
      <c r="C16" s="2">
        <v>338</v>
      </c>
      <c r="D16" s="2">
        <v>1504580</v>
      </c>
      <c r="E16" s="2">
        <v>703560</v>
      </c>
      <c r="F16" s="3">
        <f t="shared" si="0"/>
        <v>6.8297655453618752E-2</v>
      </c>
      <c r="G16" s="16">
        <f t="shared" si="1"/>
        <v>0.93170234454638123</v>
      </c>
      <c r="H16" s="52">
        <f t="shared" si="2"/>
        <v>7485.4726368159209</v>
      </c>
      <c r="I16" s="52">
        <f t="shared" si="3"/>
        <v>1.6815920398009949</v>
      </c>
      <c r="J16" s="52">
        <f t="shared" si="4"/>
        <v>4451.4201183431951</v>
      </c>
    </row>
    <row r="17" spans="1:10" ht="15.75" customHeight="1" x14ac:dyDescent="0.3">
      <c r="A17" s="58" t="s">
        <v>34</v>
      </c>
      <c r="B17" s="59">
        <v>353</v>
      </c>
      <c r="C17" s="59">
        <v>657</v>
      </c>
      <c r="D17" s="59">
        <v>3447070</v>
      </c>
      <c r="E17" s="59">
        <v>1627065</v>
      </c>
      <c r="F17" s="3">
        <f t="shared" si="0"/>
        <v>0.1199456337071016</v>
      </c>
      <c r="G17" s="16">
        <f t="shared" si="1"/>
        <v>0.88005436629289835</v>
      </c>
      <c r="H17" s="52">
        <f t="shared" si="2"/>
        <v>9765.0708215297454</v>
      </c>
      <c r="I17" s="52">
        <f t="shared" si="3"/>
        <v>1.8611898016997168</v>
      </c>
      <c r="J17" s="52">
        <f t="shared" si="4"/>
        <v>5246.681887366819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35"/>
  <sheetViews>
    <sheetView topLeftCell="O1" workbookViewId="0">
      <selection sqref="A1:AC17"/>
    </sheetView>
  </sheetViews>
  <sheetFormatPr defaultColWidth="12.6640625" defaultRowHeight="15.75" customHeight="1" x14ac:dyDescent="0.25"/>
  <sheetData>
    <row r="1" spans="1:29" ht="15.75" customHeight="1" x14ac:dyDescent="0.3">
      <c r="A1" s="17" t="s">
        <v>35</v>
      </c>
      <c r="B1" s="18"/>
      <c r="C1" s="18"/>
      <c r="D1" s="18"/>
      <c r="E1" s="4"/>
      <c r="F1" s="4"/>
      <c r="G1" s="4"/>
      <c r="H1" s="4"/>
      <c r="I1" s="4"/>
      <c r="J1" s="18"/>
      <c r="K1" s="17" t="s">
        <v>36</v>
      </c>
      <c r="L1" s="18"/>
      <c r="M1" s="18"/>
      <c r="N1" s="18"/>
      <c r="O1" s="18"/>
      <c r="P1" s="4"/>
      <c r="Q1" s="4"/>
      <c r="R1" s="4"/>
      <c r="S1" s="4"/>
      <c r="T1" s="18"/>
      <c r="U1" s="17" t="s">
        <v>37</v>
      </c>
      <c r="V1" s="18"/>
      <c r="W1" s="18"/>
      <c r="X1" s="18"/>
      <c r="Y1" s="18"/>
      <c r="Z1" s="4"/>
      <c r="AA1" s="4"/>
      <c r="AB1" s="4"/>
      <c r="AC1" s="4"/>
    </row>
    <row r="2" spans="1:29" ht="15.75" customHeight="1" x14ac:dyDescent="0.35">
      <c r="A2" s="13" t="s">
        <v>13</v>
      </c>
      <c r="B2" s="13" t="s">
        <v>1</v>
      </c>
      <c r="C2" s="13" t="s">
        <v>2</v>
      </c>
      <c r="D2" s="13" t="s">
        <v>3</v>
      </c>
      <c r="E2" s="19" t="s">
        <v>4</v>
      </c>
      <c r="F2" s="20" t="s">
        <v>14</v>
      </c>
      <c r="G2" s="20" t="s">
        <v>38</v>
      </c>
      <c r="H2" s="20" t="s">
        <v>17</v>
      </c>
      <c r="I2" s="20" t="s">
        <v>18</v>
      </c>
      <c r="J2" s="18"/>
      <c r="K2" s="13" t="s">
        <v>13</v>
      </c>
      <c r="L2" s="13" t="s">
        <v>1</v>
      </c>
      <c r="M2" s="13" t="s">
        <v>2</v>
      </c>
      <c r="N2" s="13" t="s">
        <v>3</v>
      </c>
      <c r="O2" s="13" t="s">
        <v>4</v>
      </c>
      <c r="P2" s="20" t="s">
        <v>14</v>
      </c>
      <c r="Q2" s="20" t="s">
        <v>38</v>
      </c>
      <c r="R2" s="20" t="s">
        <v>17</v>
      </c>
      <c r="S2" s="20" t="s">
        <v>18</v>
      </c>
      <c r="T2" s="18"/>
      <c r="U2" s="13" t="s">
        <v>13</v>
      </c>
      <c r="V2" s="13" t="s">
        <v>1</v>
      </c>
      <c r="W2" s="13" t="s">
        <v>2</v>
      </c>
      <c r="X2" s="13" t="s">
        <v>3</v>
      </c>
      <c r="Y2" s="13" t="s">
        <v>4</v>
      </c>
      <c r="Z2" s="20" t="s">
        <v>14</v>
      </c>
      <c r="AA2" s="20" t="s">
        <v>38</v>
      </c>
      <c r="AB2" s="20" t="s">
        <v>17</v>
      </c>
      <c r="AC2" s="20" t="s">
        <v>18</v>
      </c>
    </row>
    <row r="3" spans="1:29" ht="15.75" customHeight="1" x14ac:dyDescent="0.3">
      <c r="A3" s="1" t="s">
        <v>21</v>
      </c>
      <c r="B3" s="2">
        <v>2842</v>
      </c>
      <c r="C3" s="2">
        <v>3593</v>
      </c>
      <c r="D3" s="2">
        <v>18866045</v>
      </c>
      <c r="E3" s="21">
        <v>9389215</v>
      </c>
      <c r="F3" s="22">
        <f t="shared" ref="F3:F16" si="0">B3/B$3</f>
        <v>1</v>
      </c>
      <c r="G3" s="23">
        <f t="shared" ref="G3:G16" si="1">D3/B3</f>
        <v>6638.2987332864177</v>
      </c>
      <c r="H3" s="24">
        <f t="shared" ref="H3:H16" si="2">C3/B3</f>
        <v>1.2642505277973257</v>
      </c>
      <c r="I3" s="25">
        <f t="shared" ref="I3:I16" si="3">D3/C3</f>
        <v>5250.7779014750904</v>
      </c>
      <c r="J3" s="18"/>
      <c r="K3" s="26"/>
      <c r="L3" s="27"/>
      <c r="M3" s="27"/>
      <c r="N3" s="2"/>
      <c r="O3" s="2"/>
      <c r="P3" s="22"/>
      <c r="Q3" s="28"/>
      <c r="R3" s="29"/>
      <c r="S3" s="30"/>
      <c r="T3" s="18"/>
      <c r="U3" s="26"/>
      <c r="V3" s="27"/>
      <c r="W3" s="27"/>
      <c r="X3" s="2">
        <v>0</v>
      </c>
      <c r="Y3" s="2">
        <v>0</v>
      </c>
      <c r="Z3" s="22"/>
      <c r="AA3" s="28"/>
      <c r="AB3" s="29"/>
      <c r="AC3" s="30"/>
    </row>
    <row r="4" spans="1:29" ht="15.75" customHeight="1" x14ac:dyDescent="0.3">
      <c r="A4" s="1" t="s">
        <v>22</v>
      </c>
      <c r="B4" s="2">
        <v>529</v>
      </c>
      <c r="C4" s="2">
        <v>818</v>
      </c>
      <c r="D4" s="2">
        <v>4377010</v>
      </c>
      <c r="E4" s="21">
        <v>2173325</v>
      </c>
      <c r="F4" s="22">
        <f t="shared" si="0"/>
        <v>0.18613652357494723</v>
      </c>
      <c r="G4" s="23">
        <f t="shared" si="1"/>
        <v>8274.1209829867676</v>
      </c>
      <c r="H4" s="24">
        <f t="shared" si="2"/>
        <v>1.5463137996219283</v>
      </c>
      <c r="I4" s="25">
        <f t="shared" si="3"/>
        <v>5350.867970660147</v>
      </c>
      <c r="J4" s="18"/>
      <c r="K4" s="1" t="s">
        <v>22</v>
      </c>
      <c r="L4" s="2">
        <v>6161</v>
      </c>
      <c r="M4" s="2">
        <v>7980</v>
      </c>
      <c r="N4" s="2">
        <v>50815985</v>
      </c>
      <c r="O4" s="2">
        <v>26164050</v>
      </c>
      <c r="P4" s="22">
        <f t="shared" ref="P4:P16" si="4">L4/L$4</f>
        <v>1</v>
      </c>
      <c r="Q4" s="23">
        <f t="shared" ref="Q4:Q16" si="5">N4/L4</f>
        <v>8248.0092517448466</v>
      </c>
      <c r="R4" s="24">
        <f t="shared" ref="R4:R16" si="6">M4/L4</f>
        <v>1.2952442785262133</v>
      </c>
      <c r="S4" s="25">
        <f t="shared" ref="S4:S16" si="7">N4/M4</f>
        <v>6367.917919799499</v>
      </c>
      <c r="T4" s="18"/>
      <c r="U4" s="26"/>
      <c r="V4" s="27"/>
      <c r="W4" s="27"/>
      <c r="X4" s="2">
        <v>0</v>
      </c>
      <c r="Y4" s="2">
        <v>0</v>
      </c>
      <c r="Z4" s="22"/>
      <c r="AA4" s="28"/>
      <c r="AB4" s="29"/>
      <c r="AC4" s="30"/>
    </row>
    <row r="5" spans="1:29" ht="15.75" customHeight="1" x14ac:dyDescent="0.3">
      <c r="A5" s="1" t="s">
        <v>23</v>
      </c>
      <c r="B5" s="2">
        <v>237</v>
      </c>
      <c r="C5" s="2">
        <v>325</v>
      </c>
      <c r="D5" s="2">
        <v>1908940</v>
      </c>
      <c r="E5" s="21">
        <v>942755</v>
      </c>
      <c r="F5" s="22">
        <f t="shared" si="0"/>
        <v>8.3391977480647431E-2</v>
      </c>
      <c r="G5" s="23">
        <f t="shared" si="1"/>
        <v>8054.5991561181436</v>
      </c>
      <c r="H5" s="24">
        <f t="shared" si="2"/>
        <v>1.371308016877637</v>
      </c>
      <c r="I5" s="25">
        <f t="shared" si="3"/>
        <v>5873.6615384615388</v>
      </c>
      <c r="J5" s="18"/>
      <c r="K5" s="1" t="s">
        <v>23</v>
      </c>
      <c r="L5" s="2">
        <v>619</v>
      </c>
      <c r="M5" s="2">
        <v>939</v>
      </c>
      <c r="N5" s="2">
        <v>5396435</v>
      </c>
      <c r="O5" s="2">
        <v>2596110</v>
      </c>
      <c r="P5" s="22">
        <f t="shared" si="4"/>
        <v>0.10047070280798572</v>
      </c>
      <c r="Q5" s="23">
        <f t="shared" si="5"/>
        <v>8717.9886914378021</v>
      </c>
      <c r="R5" s="24">
        <f t="shared" si="6"/>
        <v>1.5169628432956381</v>
      </c>
      <c r="S5" s="25">
        <f t="shared" si="7"/>
        <v>5747.0021299254522</v>
      </c>
      <c r="T5" s="18"/>
      <c r="U5" s="26"/>
      <c r="V5" s="27"/>
      <c r="W5" s="27"/>
      <c r="X5" s="2">
        <v>0</v>
      </c>
      <c r="Y5" s="2">
        <v>0</v>
      </c>
      <c r="Z5" s="22"/>
      <c r="AA5" s="28"/>
      <c r="AB5" s="29"/>
      <c r="AC5" s="30"/>
    </row>
    <row r="6" spans="1:29" ht="15.75" customHeight="1" x14ac:dyDescent="0.3">
      <c r="A6" s="1" t="s">
        <v>24</v>
      </c>
      <c r="B6" s="2">
        <v>318</v>
      </c>
      <c r="C6" s="2">
        <v>467</v>
      </c>
      <c r="D6" s="2">
        <v>2357300</v>
      </c>
      <c r="E6" s="21">
        <v>1154450</v>
      </c>
      <c r="F6" s="22">
        <f t="shared" si="0"/>
        <v>0.11189303307529909</v>
      </c>
      <c r="G6" s="23">
        <f t="shared" si="1"/>
        <v>7412.8930817610062</v>
      </c>
      <c r="H6" s="24">
        <f t="shared" si="2"/>
        <v>1.4685534591194969</v>
      </c>
      <c r="I6" s="25">
        <f t="shared" si="3"/>
        <v>5047.751605995717</v>
      </c>
      <c r="J6" s="18"/>
      <c r="K6" s="1" t="s">
        <v>24</v>
      </c>
      <c r="L6" s="2">
        <v>546</v>
      </c>
      <c r="M6" s="2">
        <v>855</v>
      </c>
      <c r="N6" s="2">
        <v>4014505</v>
      </c>
      <c r="O6" s="2">
        <v>1990010</v>
      </c>
      <c r="P6" s="22">
        <f t="shared" si="4"/>
        <v>8.8621976951793538E-2</v>
      </c>
      <c r="Q6" s="23">
        <f t="shared" si="5"/>
        <v>7352.5732600732599</v>
      </c>
      <c r="R6" s="24">
        <f t="shared" si="6"/>
        <v>1.5659340659340659</v>
      </c>
      <c r="S6" s="25">
        <f t="shared" si="7"/>
        <v>4695.3274853801167</v>
      </c>
      <c r="T6" s="18"/>
      <c r="U6" s="26"/>
      <c r="V6" s="27"/>
      <c r="W6" s="27"/>
      <c r="X6" s="2">
        <v>0</v>
      </c>
      <c r="Y6" s="2">
        <v>0</v>
      </c>
      <c r="Z6" s="22"/>
      <c r="AA6" s="28"/>
      <c r="AB6" s="29"/>
      <c r="AC6" s="30"/>
    </row>
    <row r="7" spans="1:29" ht="15.75" customHeight="1" x14ac:dyDescent="0.3">
      <c r="A7" s="1" t="s">
        <v>25</v>
      </c>
      <c r="B7" s="2">
        <v>317</v>
      </c>
      <c r="C7" s="2">
        <v>468</v>
      </c>
      <c r="D7" s="2">
        <v>2213530</v>
      </c>
      <c r="E7" s="21">
        <v>1063370</v>
      </c>
      <c r="F7" s="22">
        <f t="shared" si="0"/>
        <v>0.11154116819141449</v>
      </c>
      <c r="G7" s="23">
        <f t="shared" si="1"/>
        <v>6982.744479495268</v>
      </c>
      <c r="H7" s="24">
        <f t="shared" si="2"/>
        <v>1.4763406940063091</v>
      </c>
      <c r="I7" s="25">
        <f t="shared" si="3"/>
        <v>4729.764957264957</v>
      </c>
      <c r="J7" s="18"/>
      <c r="K7" s="1" t="s">
        <v>25</v>
      </c>
      <c r="L7" s="2">
        <v>451</v>
      </c>
      <c r="M7" s="2">
        <v>696</v>
      </c>
      <c r="N7" s="2">
        <v>3515930</v>
      </c>
      <c r="O7" s="2">
        <v>1742015</v>
      </c>
      <c r="P7" s="22">
        <f t="shared" si="4"/>
        <v>7.3202402207433862E-2</v>
      </c>
      <c r="Q7" s="23">
        <f t="shared" si="5"/>
        <v>7795.8536585365855</v>
      </c>
      <c r="R7" s="24">
        <f t="shared" si="6"/>
        <v>1.5432372505543237</v>
      </c>
      <c r="S7" s="25">
        <f t="shared" si="7"/>
        <v>5051.6235632183907</v>
      </c>
      <c r="T7" s="18"/>
      <c r="U7" s="26"/>
      <c r="V7" s="27"/>
      <c r="W7" s="27"/>
      <c r="X7" s="2">
        <v>0</v>
      </c>
      <c r="Y7" s="2">
        <v>0</v>
      </c>
      <c r="Z7" s="22"/>
      <c r="AA7" s="28"/>
      <c r="AB7" s="29"/>
      <c r="AC7" s="30"/>
    </row>
    <row r="8" spans="1:29" ht="15.75" customHeight="1" x14ac:dyDescent="0.3">
      <c r="A8" s="1" t="s">
        <v>26</v>
      </c>
      <c r="B8" s="2">
        <v>366</v>
      </c>
      <c r="C8" s="2">
        <v>615</v>
      </c>
      <c r="D8" s="2">
        <v>3017685</v>
      </c>
      <c r="E8" s="21">
        <v>1435610</v>
      </c>
      <c r="F8" s="22">
        <f t="shared" si="0"/>
        <v>0.12878254750175933</v>
      </c>
      <c r="G8" s="23">
        <f t="shared" si="1"/>
        <v>8245.0409836065573</v>
      </c>
      <c r="H8" s="24">
        <f t="shared" si="2"/>
        <v>1.680327868852459</v>
      </c>
      <c r="I8" s="25">
        <f t="shared" si="3"/>
        <v>4906.8048780487807</v>
      </c>
      <c r="J8" s="18"/>
      <c r="K8" s="1" t="s">
        <v>26</v>
      </c>
      <c r="L8" s="2">
        <v>939</v>
      </c>
      <c r="M8" s="2">
        <v>1579</v>
      </c>
      <c r="N8" s="2">
        <v>8754185</v>
      </c>
      <c r="O8" s="2">
        <v>4264700</v>
      </c>
      <c r="P8" s="22">
        <f t="shared" si="4"/>
        <v>0.15241032299951307</v>
      </c>
      <c r="Q8" s="23">
        <f t="shared" si="5"/>
        <v>9322.8807241746545</v>
      </c>
      <c r="R8" s="24">
        <f t="shared" si="6"/>
        <v>1.6815761448349307</v>
      </c>
      <c r="S8" s="25">
        <f t="shared" si="7"/>
        <v>5544.1323622545915</v>
      </c>
      <c r="T8" s="18"/>
      <c r="U8" s="1" t="s">
        <v>26</v>
      </c>
      <c r="V8" s="2">
        <v>5881</v>
      </c>
      <c r="W8" s="2">
        <v>7651</v>
      </c>
      <c r="X8" s="2">
        <v>46089890</v>
      </c>
      <c r="Y8" s="2">
        <v>22577830</v>
      </c>
      <c r="Z8" s="22">
        <f t="shared" ref="Z8:Z16" si="8">V8/V$8</f>
        <v>1</v>
      </c>
      <c r="AA8" s="23">
        <f t="shared" ref="AA8:AA16" si="9">X8/V8</f>
        <v>7837.0838292807348</v>
      </c>
      <c r="AB8" s="24">
        <f t="shared" ref="AB8:AB16" si="10">W8/V8</f>
        <v>1.3009692229212719</v>
      </c>
      <c r="AC8" s="25">
        <f t="shared" ref="AC8:AC16" si="11">X8/W8</f>
        <v>6024.0347666971638</v>
      </c>
    </row>
    <row r="9" spans="1:29" ht="15.75" customHeight="1" x14ac:dyDescent="0.3">
      <c r="A9" s="1" t="s">
        <v>27</v>
      </c>
      <c r="B9" s="2">
        <v>234</v>
      </c>
      <c r="C9" s="2">
        <v>339</v>
      </c>
      <c r="D9" s="2">
        <v>1575365</v>
      </c>
      <c r="E9" s="21">
        <v>740795</v>
      </c>
      <c r="F9" s="22">
        <f t="shared" si="0"/>
        <v>8.2336382828993665E-2</v>
      </c>
      <c r="G9" s="23">
        <f t="shared" si="1"/>
        <v>6732.3290598290596</v>
      </c>
      <c r="H9" s="24">
        <f t="shared" si="2"/>
        <v>1.4487179487179487</v>
      </c>
      <c r="I9" s="25">
        <f t="shared" si="3"/>
        <v>4647.0943952802363</v>
      </c>
      <c r="J9" s="18"/>
      <c r="K9" s="1" t="s">
        <v>27</v>
      </c>
      <c r="L9" s="2">
        <v>418</v>
      </c>
      <c r="M9" s="2">
        <v>687</v>
      </c>
      <c r="N9" s="2">
        <v>3430020</v>
      </c>
      <c r="O9" s="2">
        <v>1596375</v>
      </c>
      <c r="P9" s="22">
        <f t="shared" si="4"/>
        <v>6.7846128875182599E-2</v>
      </c>
      <c r="Q9" s="23">
        <f t="shared" si="5"/>
        <v>8205.78947368421</v>
      </c>
      <c r="R9" s="24">
        <f t="shared" si="6"/>
        <v>1.6435406698564594</v>
      </c>
      <c r="S9" s="25">
        <f t="shared" si="7"/>
        <v>4992.7510917030568</v>
      </c>
      <c r="T9" s="18"/>
      <c r="U9" s="1" t="s">
        <v>27</v>
      </c>
      <c r="V9" s="2">
        <v>690</v>
      </c>
      <c r="W9" s="2">
        <v>1011</v>
      </c>
      <c r="X9" s="2">
        <v>5531845</v>
      </c>
      <c r="Y9" s="2">
        <v>2540340</v>
      </c>
      <c r="Z9" s="22">
        <f t="shared" si="8"/>
        <v>0.11732698520659751</v>
      </c>
      <c r="AA9" s="23">
        <f t="shared" si="9"/>
        <v>8017.166666666667</v>
      </c>
      <c r="AB9" s="24">
        <f t="shared" si="10"/>
        <v>1.4652173913043478</v>
      </c>
      <c r="AC9" s="25">
        <f t="shared" si="11"/>
        <v>5471.6567754698317</v>
      </c>
    </row>
    <row r="10" spans="1:29" ht="15.75" customHeight="1" x14ac:dyDescent="0.3">
      <c r="A10" s="1" t="s">
        <v>28</v>
      </c>
      <c r="B10" s="2">
        <v>254</v>
      </c>
      <c r="C10" s="2">
        <v>408</v>
      </c>
      <c r="D10" s="2">
        <v>1804770</v>
      </c>
      <c r="E10" s="21">
        <v>868560</v>
      </c>
      <c r="F10" s="22">
        <f t="shared" si="0"/>
        <v>8.9373680506685427E-2</v>
      </c>
      <c r="G10" s="23">
        <f t="shared" si="1"/>
        <v>7105.3937007874019</v>
      </c>
      <c r="H10" s="24">
        <f t="shared" si="2"/>
        <v>1.6062992125984252</v>
      </c>
      <c r="I10" s="25">
        <f t="shared" si="3"/>
        <v>4423.4558823529414</v>
      </c>
      <c r="J10" s="18"/>
      <c r="K10" s="1" t="s">
        <v>28</v>
      </c>
      <c r="L10" s="2">
        <v>442</v>
      </c>
      <c r="M10" s="2">
        <v>738</v>
      </c>
      <c r="N10" s="2">
        <v>3375460</v>
      </c>
      <c r="O10" s="2">
        <v>1614635</v>
      </c>
      <c r="P10" s="22">
        <f t="shared" si="4"/>
        <v>7.1741600389547147E-2</v>
      </c>
      <c r="Q10" s="23">
        <f t="shared" si="5"/>
        <v>7636.7873303167416</v>
      </c>
      <c r="R10" s="24">
        <f t="shared" si="6"/>
        <v>1.6696832579185521</v>
      </c>
      <c r="S10" s="25">
        <f t="shared" si="7"/>
        <v>4573.794037940379</v>
      </c>
      <c r="T10" s="18"/>
      <c r="U10" s="1" t="s">
        <v>28</v>
      </c>
      <c r="V10" s="2">
        <v>473</v>
      </c>
      <c r="W10" s="2">
        <v>675</v>
      </c>
      <c r="X10" s="2">
        <v>3571370</v>
      </c>
      <c r="Y10" s="2">
        <v>1677170</v>
      </c>
      <c r="Z10" s="22">
        <f t="shared" si="8"/>
        <v>8.0428498554667577E-2</v>
      </c>
      <c r="AA10" s="23">
        <f t="shared" si="9"/>
        <v>7550.4651162790697</v>
      </c>
      <c r="AB10" s="24">
        <f t="shared" si="10"/>
        <v>1.427061310782241</v>
      </c>
      <c r="AC10" s="25">
        <f t="shared" si="11"/>
        <v>5290.9185185185188</v>
      </c>
    </row>
    <row r="11" spans="1:29" ht="15.75" customHeight="1" x14ac:dyDescent="0.3">
      <c r="A11" s="1" t="s">
        <v>29</v>
      </c>
      <c r="B11" s="2">
        <v>269</v>
      </c>
      <c r="C11" s="2">
        <v>385</v>
      </c>
      <c r="D11" s="2">
        <v>1582735</v>
      </c>
      <c r="E11" s="21">
        <v>742940</v>
      </c>
      <c r="F11" s="22">
        <f t="shared" si="0"/>
        <v>9.4651653764954255E-2</v>
      </c>
      <c r="G11" s="23">
        <f t="shared" si="1"/>
        <v>5883.7732342007439</v>
      </c>
      <c r="H11" s="24">
        <f t="shared" si="2"/>
        <v>1.4312267657992566</v>
      </c>
      <c r="I11" s="25">
        <f t="shared" si="3"/>
        <v>4111</v>
      </c>
      <c r="J11" s="18"/>
      <c r="K11" s="1" t="s">
        <v>29</v>
      </c>
      <c r="L11" s="2">
        <v>430</v>
      </c>
      <c r="M11" s="2">
        <v>731</v>
      </c>
      <c r="N11" s="2">
        <v>3476385</v>
      </c>
      <c r="O11" s="2">
        <v>1640210</v>
      </c>
      <c r="P11" s="22">
        <f t="shared" si="4"/>
        <v>6.979386463236488E-2</v>
      </c>
      <c r="Q11" s="23">
        <f t="shared" si="5"/>
        <v>8084.6162790697672</v>
      </c>
      <c r="R11" s="24">
        <f t="shared" si="6"/>
        <v>1.7</v>
      </c>
      <c r="S11" s="25">
        <f t="shared" si="7"/>
        <v>4755.6566347469225</v>
      </c>
      <c r="T11" s="18"/>
      <c r="U11" s="1" t="s">
        <v>29</v>
      </c>
      <c r="V11" s="2">
        <v>420</v>
      </c>
      <c r="W11" s="2">
        <v>601</v>
      </c>
      <c r="X11" s="2">
        <v>2838000</v>
      </c>
      <c r="Y11" s="2">
        <v>1371040</v>
      </c>
      <c r="Z11" s="22">
        <f t="shared" si="8"/>
        <v>7.1416425777928921E-2</v>
      </c>
      <c r="AA11" s="23">
        <f t="shared" si="9"/>
        <v>6757.1428571428569</v>
      </c>
      <c r="AB11" s="24">
        <f t="shared" si="10"/>
        <v>1.430952380952381</v>
      </c>
      <c r="AC11" s="25">
        <f t="shared" si="11"/>
        <v>4722.1297836938438</v>
      </c>
    </row>
    <row r="12" spans="1:29" ht="15.75" customHeight="1" x14ac:dyDescent="0.3">
      <c r="A12" s="1" t="s">
        <v>30</v>
      </c>
      <c r="B12" s="2">
        <v>358</v>
      </c>
      <c r="C12" s="2">
        <v>625</v>
      </c>
      <c r="D12" s="2">
        <v>3222065</v>
      </c>
      <c r="E12" s="21">
        <v>1519155</v>
      </c>
      <c r="F12" s="22">
        <f t="shared" si="0"/>
        <v>0.12596762843068263</v>
      </c>
      <c r="G12" s="23">
        <f t="shared" si="1"/>
        <v>9000.1815642458096</v>
      </c>
      <c r="H12" s="24">
        <f t="shared" si="2"/>
        <v>1.7458100558659218</v>
      </c>
      <c r="I12" s="25">
        <f t="shared" si="3"/>
        <v>5155.3040000000001</v>
      </c>
      <c r="J12" s="18"/>
      <c r="K12" s="1" t="s">
        <v>30</v>
      </c>
      <c r="L12" s="2">
        <v>885</v>
      </c>
      <c r="M12" s="2">
        <v>1542</v>
      </c>
      <c r="N12" s="2">
        <v>8510590</v>
      </c>
      <c r="O12" s="2">
        <v>4095850</v>
      </c>
      <c r="P12" s="22">
        <f t="shared" si="4"/>
        <v>0.14364551209219284</v>
      </c>
      <c r="Q12" s="23">
        <f t="shared" si="5"/>
        <v>9616.4858757062138</v>
      </c>
      <c r="R12" s="24">
        <f t="shared" si="6"/>
        <v>1.7423728813559323</v>
      </c>
      <c r="S12" s="25">
        <f t="shared" si="7"/>
        <v>5519.1893644617376</v>
      </c>
      <c r="T12" s="18"/>
      <c r="U12" s="1" t="s">
        <v>30</v>
      </c>
      <c r="V12" s="2">
        <v>999</v>
      </c>
      <c r="W12" s="2">
        <v>1660</v>
      </c>
      <c r="X12" s="2">
        <v>8927160</v>
      </c>
      <c r="Y12" s="2">
        <v>4306665</v>
      </c>
      <c r="Z12" s="22">
        <f t="shared" si="8"/>
        <v>0.16986906988607381</v>
      </c>
      <c r="AA12" s="23">
        <f t="shared" si="9"/>
        <v>8936.0960960960965</v>
      </c>
      <c r="AB12" s="24">
        <f t="shared" si="10"/>
        <v>1.6616616616616617</v>
      </c>
      <c r="AC12" s="25">
        <f t="shared" si="11"/>
        <v>5377.8072289156626</v>
      </c>
    </row>
    <row r="13" spans="1:29" ht="15.75" customHeight="1" x14ac:dyDescent="0.3">
      <c r="A13" s="1" t="s">
        <v>31</v>
      </c>
      <c r="B13" s="2">
        <v>220</v>
      </c>
      <c r="C13" s="2">
        <v>323</v>
      </c>
      <c r="D13" s="2">
        <v>1638945</v>
      </c>
      <c r="E13" s="21">
        <v>766755</v>
      </c>
      <c r="F13" s="22">
        <f t="shared" si="0"/>
        <v>7.7410274454609435E-2</v>
      </c>
      <c r="G13" s="23">
        <f t="shared" si="1"/>
        <v>7449.75</v>
      </c>
      <c r="H13" s="24">
        <f t="shared" si="2"/>
        <v>1.4681818181818183</v>
      </c>
      <c r="I13" s="25">
        <f t="shared" si="3"/>
        <v>5074.1331269349848</v>
      </c>
      <c r="J13" s="18"/>
      <c r="K13" s="1" t="s">
        <v>31</v>
      </c>
      <c r="L13" s="2">
        <v>381</v>
      </c>
      <c r="M13" s="2">
        <v>625</v>
      </c>
      <c r="N13" s="2">
        <v>3439535</v>
      </c>
      <c r="O13" s="2">
        <v>1651705</v>
      </c>
      <c r="P13" s="22">
        <f t="shared" si="4"/>
        <v>6.1840610290537251E-2</v>
      </c>
      <c r="Q13" s="23">
        <f t="shared" si="5"/>
        <v>9027.6509186351705</v>
      </c>
      <c r="R13" s="24">
        <f t="shared" si="6"/>
        <v>1.6404199475065617</v>
      </c>
      <c r="S13" s="25">
        <f t="shared" si="7"/>
        <v>5503.2560000000003</v>
      </c>
      <c r="T13" s="18"/>
      <c r="U13" s="1" t="s">
        <v>31</v>
      </c>
      <c r="V13" s="2">
        <v>387</v>
      </c>
      <c r="W13" s="2">
        <v>562</v>
      </c>
      <c r="X13" s="2">
        <v>3135275</v>
      </c>
      <c r="Y13" s="2">
        <v>1509805</v>
      </c>
      <c r="Z13" s="22">
        <f t="shared" si="8"/>
        <v>6.5805135181091656E-2</v>
      </c>
      <c r="AA13" s="23">
        <f t="shared" si="9"/>
        <v>8101.485788113695</v>
      </c>
      <c r="AB13" s="24">
        <f t="shared" si="10"/>
        <v>1.4521963824289406</v>
      </c>
      <c r="AC13" s="25">
        <f t="shared" si="11"/>
        <v>5578.7811387900356</v>
      </c>
    </row>
    <row r="14" spans="1:29" ht="15.75" customHeight="1" x14ac:dyDescent="0.3">
      <c r="A14" s="1" t="s">
        <v>32</v>
      </c>
      <c r="B14" s="2">
        <v>224</v>
      </c>
      <c r="C14" s="2">
        <v>338</v>
      </c>
      <c r="D14" s="2">
        <v>1742675</v>
      </c>
      <c r="E14" s="21">
        <v>828905</v>
      </c>
      <c r="F14" s="22">
        <f t="shared" si="0"/>
        <v>7.8817733990147784E-2</v>
      </c>
      <c r="G14" s="23">
        <f t="shared" si="1"/>
        <v>7779.7991071428569</v>
      </c>
      <c r="H14" s="24">
        <f t="shared" si="2"/>
        <v>1.5089285714285714</v>
      </c>
      <c r="I14" s="25">
        <f t="shared" si="3"/>
        <v>5155.8431952662722</v>
      </c>
      <c r="J14" s="18"/>
      <c r="K14" s="1" t="s">
        <v>32</v>
      </c>
      <c r="L14" s="2">
        <v>384</v>
      </c>
      <c r="M14" s="2">
        <v>654</v>
      </c>
      <c r="N14" s="2">
        <v>3467475</v>
      </c>
      <c r="O14" s="2">
        <v>1650495</v>
      </c>
      <c r="P14" s="22">
        <f t="shared" si="4"/>
        <v>6.2327544229832818E-2</v>
      </c>
      <c r="Q14" s="23">
        <f t="shared" si="5"/>
        <v>9029.8828125</v>
      </c>
      <c r="R14" s="24">
        <f t="shared" si="6"/>
        <v>1.703125</v>
      </c>
      <c r="S14" s="25">
        <f t="shared" si="7"/>
        <v>5301.9495412844035</v>
      </c>
      <c r="T14" s="18"/>
      <c r="U14" s="1" t="s">
        <v>32</v>
      </c>
      <c r="V14" s="2">
        <v>343</v>
      </c>
      <c r="W14" s="2">
        <v>522</v>
      </c>
      <c r="X14" s="2">
        <v>2546775</v>
      </c>
      <c r="Y14" s="2">
        <v>1241075</v>
      </c>
      <c r="Z14" s="22">
        <f t="shared" si="8"/>
        <v>5.8323414385308622E-2</v>
      </c>
      <c r="AA14" s="23">
        <f t="shared" si="9"/>
        <v>7425</v>
      </c>
      <c r="AB14" s="24">
        <f t="shared" si="10"/>
        <v>1.5218658892128281</v>
      </c>
      <c r="AC14" s="25">
        <f t="shared" si="11"/>
        <v>4878.8793103448279</v>
      </c>
    </row>
    <row r="15" spans="1:29" ht="15.75" customHeight="1" x14ac:dyDescent="0.3">
      <c r="A15" s="1" t="s">
        <v>33</v>
      </c>
      <c r="B15" s="2">
        <v>230</v>
      </c>
      <c r="C15" s="2">
        <v>349</v>
      </c>
      <c r="D15" s="2">
        <v>1446720</v>
      </c>
      <c r="E15" s="21">
        <v>692780</v>
      </c>
      <c r="F15" s="22">
        <f t="shared" si="0"/>
        <v>8.0928923293455315E-2</v>
      </c>
      <c r="G15" s="23">
        <f t="shared" si="1"/>
        <v>6290.086956521739</v>
      </c>
      <c r="H15" s="24">
        <f t="shared" si="2"/>
        <v>1.517391304347826</v>
      </c>
      <c r="I15" s="25">
        <f t="shared" si="3"/>
        <v>4145.3295128939826</v>
      </c>
      <c r="J15" s="18"/>
      <c r="K15" s="1" t="s">
        <v>33</v>
      </c>
      <c r="L15" s="2">
        <v>351</v>
      </c>
      <c r="M15" s="2">
        <v>561</v>
      </c>
      <c r="N15" s="2">
        <v>2413840</v>
      </c>
      <c r="O15" s="2">
        <v>1158025</v>
      </c>
      <c r="P15" s="22">
        <f t="shared" si="4"/>
        <v>5.6971270897581562E-2</v>
      </c>
      <c r="Q15" s="23">
        <f t="shared" si="5"/>
        <v>6877.0370370370374</v>
      </c>
      <c r="R15" s="24">
        <f t="shared" si="6"/>
        <v>1.5982905982905984</v>
      </c>
      <c r="S15" s="25">
        <f t="shared" si="7"/>
        <v>4302.7450980392159</v>
      </c>
      <c r="T15" s="18"/>
      <c r="U15" s="1" t="s">
        <v>33</v>
      </c>
      <c r="V15" s="2">
        <v>356</v>
      </c>
      <c r="W15" s="2">
        <v>518</v>
      </c>
      <c r="X15" s="2">
        <v>2251975</v>
      </c>
      <c r="Y15" s="2">
        <v>1074480</v>
      </c>
      <c r="Z15" s="22">
        <f t="shared" si="8"/>
        <v>6.0533922802244518E-2</v>
      </c>
      <c r="AA15" s="23">
        <f t="shared" si="9"/>
        <v>6325.7724719101125</v>
      </c>
      <c r="AB15" s="24">
        <f t="shared" si="10"/>
        <v>1.4550561797752808</v>
      </c>
      <c r="AC15" s="25">
        <f t="shared" si="11"/>
        <v>4347.4420849420849</v>
      </c>
    </row>
    <row r="16" spans="1:29" ht="15.75" customHeight="1" x14ac:dyDescent="0.3">
      <c r="A16" s="58" t="s">
        <v>34</v>
      </c>
      <c r="B16" s="59">
        <v>311</v>
      </c>
      <c r="C16" s="59">
        <v>523</v>
      </c>
      <c r="D16" s="59">
        <v>2693735</v>
      </c>
      <c r="E16" s="60">
        <v>1293325</v>
      </c>
      <c r="F16" s="22">
        <f t="shared" si="0"/>
        <v>0.10942997888810696</v>
      </c>
      <c r="G16" s="23">
        <f t="shared" si="1"/>
        <v>8661.5273311897108</v>
      </c>
      <c r="H16" s="24">
        <f t="shared" si="2"/>
        <v>1.6816720257234727</v>
      </c>
      <c r="I16" s="25">
        <f t="shared" si="3"/>
        <v>5150.544933078394</v>
      </c>
      <c r="J16" s="18"/>
      <c r="K16" s="58" t="s">
        <v>34</v>
      </c>
      <c r="L16" s="59">
        <v>743</v>
      </c>
      <c r="M16" s="59">
        <v>1364</v>
      </c>
      <c r="N16" s="59">
        <v>7542645</v>
      </c>
      <c r="O16" s="59">
        <v>3669875</v>
      </c>
      <c r="P16" s="22">
        <f t="shared" si="4"/>
        <v>0.12059730563220257</v>
      </c>
      <c r="Q16" s="23">
        <f t="shared" si="5"/>
        <v>10151.608344549126</v>
      </c>
      <c r="R16" s="24">
        <f t="shared" si="6"/>
        <v>1.835800807537012</v>
      </c>
      <c r="S16" s="25">
        <f t="shared" si="7"/>
        <v>5529.7983870967746</v>
      </c>
      <c r="T16" s="18"/>
      <c r="U16" s="58" t="s">
        <v>34</v>
      </c>
      <c r="V16" s="59">
        <v>778</v>
      </c>
      <c r="W16" s="59">
        <v>1300</v>
      </c>
      <c r="X16" s="59">
        <v>7285410</v>
      </c>
      <c r="Y16" s="59">
        <v>3469510</v>
      </c>
      <c r="Z16" s="22">
        <f t="shared" si="8"/>
        <v>0.13229042679816358</v>
      </c>
      <c r="AA16" s="23">
        <f t="shared" si="9"/>
        <v>9364.2802056555265</v>
      </c>
      <c r="AB16" s="24">
        <f t="shared" si="10"/>
        <v>1.6709511568123394</v>
      </c>
      <c r="AC16" s="25">
        <f t="shared" si="11"/>
        <v>5604.1615384615388</v>
      </c>
    </row>
    <row r="17" spans="1:29" ht="13.2" x14ac:dyDescent="0.25">
      <c r="A17" s="18"/>
      <c r="B17" s="18"/>
      <c r="C17" s="5">
        <f>STDEV(C2:C16)/AVERAGE(C2:C16)</f>
        <v>1.2421203478290033</v>
      </c>
      <c r="D17" s="5">
        <f>STDEV(D2:D16)/AVERAGE(D2:D16)</f>
        <v>1.303056808722453</v>
      </c>
      <c r="E17" s="5">
        <f>STDEV(E2:E16)/AVERAGE(E2:E16)</f>
        <v>1.3365916087627037</v>
      </c>
      <c r="F17" s="31"/>
      <c r="G17" s="31"/>
      <c r="H17" s="32"/>
      <c r="I17" s="33"/>
      <c r="J17" s="18"/>
      <c r="K17" s="18"/>
      <c r="L17" s="18"/>
      <c r="M17" s="5">
        <f>STDEV(M4:M12)/AVERAGE(M4:M12)</f>
        <v>1.3502010953398882</v>
      </c>
      <c r="N17" s="5">
        <f>STDEV(N4:N12)/AVERAGE(N4:N12)</f>
        <v>1.5186146842945647</v>
      </c>
      <c r="O17" s="5">
        <f>STDEV(O4:O12)/AVERAGE(O4:O12)</f>
        <v>1.5707444870348233</v>
      </c>
      <c r="P17" s="31"/>
      <c r="Q17" s="31"/>
      <c r="R17" s="32"/>
      <c r="S17" s="33"/>
      <c r="T17" s="18"/>
      <c r="U17" s="18"/>
      <c r="V17" s="18"/>
      <c r="W17" s="5">
        <f>STDEV(W2:W16)/AVERAGE(W2:W16)</f>
        <v>1.4275505992560771</v>
      </c>
      <c r="X17" s="5">
        <f>STDEV(X2:X16)/AVERAGE(X2:X16)</f>
        <v>2.0309159162867818</v>
      </c>
      <c r="Y17" s="5">
        <f>STDEV(Y2:Y16)/AVERAGE(Y2:Y16)</f>
        <v>2.0562240469385347</v>
      </c>
      <c r="Z17" s="31"/>
      <c r="AA17" s="31"/>
      <c r="AB17" s="32"/>
      <c r="AC17" s="33"/>
    </row>
    <row r="20" spans="1:29" ht="13.2" x14ac:dyDescent="0.25">
      <c r="A20" s="54" t="s">
        <v>39</v>
      </c>
      <c r="B20" s="54" t="s">
        <v>14</v>
      </c>
      <c r="C20" s="34"/>
      <c r="D20" s="34"/>
      <c r="E20" s="87" t="s">
        <v>16</v>
      </c>
      <c r="F20" s="88"/>
      <c r="G20" s="34"/>
      <c r="H20" s="54" t="s">
        <v>17</v>
      </c>
      <c r="I20" s="34"/>
      <c r="J20" s="34"/>
      <c r="K20" s="54" t="s">
        <v>18</v>
      </c>
      <c r="L20" s="34"/>
      <c r="M20" s="34"/>
    </row>
    <row r="21" spans="1:29" ht="15.75" customHeight="1" x14ac:dyDescent="0.3">
      <c r="A21" s="38" t="s">
        <v>13</v>
      </c>
      <c r="B21" s="35" t="s">
        <v>35</v>
      </c>
      <c r="C21" s="36" t="s">
        <v>36</v>
      </c>
      <c r="D21" s="37" t="s">
        <v>37</v>
      </c>
      <c r="E21" s="36" t="s">
        <v>35</v>
      </c>
      <c r="F21" s="36" t="s">
        <v>36</v>
      </c>
      <c r="G21" s="37" t="s">
        <v>37</v>
      </c>
      <c r="H21" s="36" t="s">
        <v>35</v>
      </c>
      <c r="I21" s="36" t="s">
        <v>36</v>
      </c>
      <c r="J21" s="37" t="s">
        <v>37</v>
      </c>
      <c r="K21" s="36" t="s">
        <v>35</v>
      </c>
      <c r="L21" s="36" t="s">
        <v>36</v>
      </c>
      <c r="M21" s="37" t="s">
        <v>37</v>
      </c>
    </row>
    <row r="22" spans="1:29" ht="15.75" customHeight="1" x14ac:dyDescent="0.3">
      <c r="A22" s="38" t="s">
        <v>21</v>
      </c>
      <c r="B22" s="39" t="e">
        <f t="shared" ref="B22:B35" ca="1" si="12">_xludf.ifna(VLOOKUP(A22,A2:I16,6,0),"")</f>
        <v>#NAME?</v>
      </c>
      <c r="C22" s="40"/>
      <c r="D22" s="41"/>
      <c r="E22" s="42" t="e">
        <f t="shared" ref="E22:E35" ca="1" si="13">_xludf.ifna(VLOOKUP(A22,A2:I16,7,0),"")</f>
        <v>#NAME?</v>
      </c>
      <c r="F22" s="43"/>
      <c r="G22" s="44"/>
      <c r="H22" s="42" t="e">
        <f t="shared" ref="H22:H35" ca="1" si="14">_xludf.ifna(VLOOKUP(A22,A2:I16,8,0),"")</f>
        <v>#NAME?</v>
      </c>
      <c r="I22" s="45"/>
      <c r="J22" s="46"/>
      <c r="K22" s="42" t="e">
        <f t="shared" ref="K22:K35" ca="1" si="15">_xludf.ifna(VLOOKUP(A22,A2:I16,9,0),"")</f>
        <v>#NAME?</v>
      </c>
      <c r="L22" s="45"/>
      <c r="M22" s="46" t="s">
        <v>40</v>
      </c>
    </row>
    <row r="23" spans="1:29" ht="15.75" customHeight="1" x14ac:dyDescent="0.3">
      <c r="A23" s="38" t="s">
        <v>22</v>
      </c>
      <c r="B23" s="39" t="e">
        <f t="shared" ca="1" si="12"/>
        <v>#NAME?</v>
      </c>
      <c r="C23" s="47" t="e">
        <f t="shared" ref="C23:C35" ca="1" si="16">_xludf.ifna(VLOOKUP(A23,K2:S16,6,0),"")</f>
        <v>#NAME?</v>
      </c>
      <c r="D23" s="41"/>
      <c r="E23" s="42" t="e">
        <f t="shared" ca="1" si="13"/>
        <v>#NAME?</v>
      </c>
      <c r="F23" s="42" t="e">
        <f t="shared" ref="F23:F35" ca="1" si="17">_xludf.ifna(VLOOKUP(A23,K2:S16,7,0),"")</f>
        <v>#NAME?</v>
      </c>
      <c r="G23" s="44"/>
      <c r="H23" s="42" t="e">
        <f t="shared" ca="1" si="14"/>
        <v>#NAME?</v>
      </c>
      <c r="I23" s="42" t="e">
        <f t="shared" ref="I23:I35" ca="1" si="18">_xludf.ifna(VLOOKUP(A23,K2:S16,8,0),"")</f>
        <v>#NAME?</v>
      </c>
      <c r="J23" s="46"/>
      <c r="K23" s="42" t="e">
        <f t="shared" ca="1" si="15"/>
        <v>#NAME?</v>
      </c>
      <c r="L23" s="42" t="e">
        <f t="shared" ref="L23:L35" ca="1" si="19">_xludf.ifna(VLOOKUP(A23,K2:S16,9,0),"")</f>
        <v>#NAME?</v>
      </c>
      <c r="M23" s="46"/>
    </row>
    <row r="24" spans="1:29" ht="15.75" customHeight="1" x14ac:dyDescent="0.3">
      <c r="A24" s="38" t="s">
        <v>23</v>
      </c>
      <c r="B24" s="39" t="e">
        <f t="shared" ca="1" si="12"/>
        <v>#NAME?</v>
      </c>
      <c r="C24" s="47" t="e">
        <f t="shared" ca="1" si="16"/>
        <v>#NAME?</v>
      </c>
      <c r="D24" s="41"/>
      <c r="E24" s="42" t="e">
        <f t="shared" ca="1" si="13"/>
        <v>#NAME?</v>
      </c>
      <c r="F24" s="42" t="e">
        <f t="shared" ca="1" si="17"/>
        <v>#NAME?</v>
      </c>
      <c r="G24" s="44"/>
      <c r="H24" s="42" t="e">
        <f t="shared" ca="1" si="14"/>
        <v>#NAME?</v>
      </c>
      <c r="I24" s="42" t="e">
        <f t="shared" ca="1" si="18"/>
        <v>#NAME?</v>
      </c>
      <c r="J24" s="46"/>
      <c r="K24" s="42" t="e">
        <f t="shared" ca="1" si="15"/>
        <v>#NAME?</v>
      </c>
      <c r="L24" s="42" t="e">
        <f t="shared" ca="1" si="19"/>
        <v>#NAME?</v>
      </c>
      <c r="M24" s="46"/>
    </row>
    <row r="25" spans="1:29" ht="15.75" customHeight="1" x14ac:dyDescent="0.3">
      <c r="A25" s="38" t="s">
        <v>24</v>
      </c>
      <c r="B25" s="39" t="e">
        <f t="shared" ca="1" si="12"/>
        <v>#NAME?</v>
      </c>
      <c r="C25" s="47" t="e">
        <f t="shared" ca="1" si="16"/>
        <v>#NAME?</v>
      </c>
      <c r="D25" s="41"/>
      <c r="E25" s="42" t="e">
        <f t="shared" ca="1" si="13"/>
        <v>#NAME?</v>
      </c>
      <c r="F25" s="42" t="e">
        <f t="shared" ca="1" si="17"/>
        <v>#NAME?</v>
      </c>
      <c r="G25" s="44"/>
      <c r="H25" s="42" t="e">
        <f t="shared" ca="1" si="14"/>
        <v>#NAME?</v>
      </c>
      <c r="I25" s="42" t="e">
        <f t="shared" ca="1" si="18"/>
        <v>#NAME?</v>
      </c>
      <c r="J25" s="46"/>
      <c r="K25" s="42" t="e">
        <f t="shared" ca="1" si="15"/>
        <v>#NAME?</v>
      </c>
      <c r="L25" s="42" t="e">
        <f t="shared" ca="1" si="19"/>
        <v>#NAME?</v>
      </c>
      <c r="M25" s="46"/>
    </row>
    <row r="26" spans="1:29" ht="15.75" customHeight="1" x14ac:dyDescent="0.3">
      <c r="A26" s="38" t="s">
        <v>25</v>
      </c>
      <c r="B26" s="39" t="e">
        <f t="shared" ca="1" si="12"/>
        <v>#NAME?</v>
      </c>
      <c r="C26" s="47" t="e">
        <f t="shared" ca="1" si="16"/>
        <v>#NAME?</v>
      </c>
      <c r="D26" s="41"/>
      <c r="E26" s="42" t="e">
        <f t="shared" ca="1" si="13"/>
        <v>#NAME?</v>
      </c>
      <c r="F26" s="42" t="e">
        <f t="shared" ca="1" si="17"/>
        <v>#NAME?</v>
      </c>
      <c r="G26" s="44"/>
      <c r="H26" s="42" t="e">
        <f t="shared" ca="1" si="14"/>
        <v>#NAME?</v>
      </c>
      <c r="I26" s="42" t="e">
        <f t="shared" ca="1" si="18"/>
        <v>#NAME?</v>
      </c>
      <c r="J26" s="46"/>
      <c r="K26" s="42" t="e">
        <f t="shared" ca="1" si="15"/>
        <v>#NAME?</v>
      </c>
      <c r="L26" s="42" t="e">
        <f t="shared" ca="1" si="19"/>
        <v>#NAME?</v>
      </c>
      <c r="M26" s="46"/>
    </row>
    <row r="27" spans="1:29" ht="14.4" customHeight="1" x14ac:dyDescent="0.3">
      <c r="A27" s="38" t="s">
        <v>26</v>
      </c>
      <c r="B27" s="39" t="e">
        <f t="shared" ca="1" si="12"/>
        <v>#NAME?</v>
      </c>
      <c r="C27" s="47" t="e">
        <f t="shared" ca="1" si="16"/>
        <v>#NAME?</v>
      </c>
      <c r="D27" s="48" t="e">
        <f t="shared" ref="D27:D35" ca="1" si="20">_xludf.ifna(VLOOKUP(A27,U2:AC16,6,0),"")</f>
        <v>#NAME?</v>
      </c>
      <c r="E27" s="42" t="e">
        <f t="shared" ca="1" si="13"/>
        <v>#NAME?</v>
      </c>
      <c r="F27" s="42" t="e">
        <f t="shared" ca="1" si="17"/>
        <v>#NAME?</v>
      </c>
      <c r="G27" s="49" t="e">
        <f t="shared" ref="G27:G35" ca="1" si="21">_xludf.ifna(VLOOKUP(A27,U2:AC16,7,0),"")</f>
        <v>#NAME?</v>
      </c>
      <c r="H27" s="42" t="e">
        <f t="shared" ca="1" si="14"/>
        <v>#NAME?</v>
      </c>
      <c r="I27" s="42" t="e">
        <f t="shared" ca="1" si="18"/>
        <v>#NAME?</v>
      </c>
      <c r="J27" s="49" t="e">
        <f t="shared" ref="J27:J35" ca="1" si="22">_xludf.ifna(VLOOKUP(A27,U2:AC16,8,0),"")</f>
        <v>#NAME?</v>
      </c>
      <c r="K27" s="42" t="e">
        <f t="shared" ca="1" si="15"/>
        <v>#NAME?</v>
      </c>
      <c r="L27" s="42" t="e">
        <f t="shared" ca="1" si="19"/>
        <v>#NAME?</v>
      </c>
      <c r="M27" s="49" t="e">
        <f t="shared" ref="M27:M35" ca="1" si="23">_xludf.ifna(VLOOKUP(A27,U2:AC16,9,0),"")</f>
        <v>#NAME?</v>
      </c>
    </row>
    <row r="28" spans="1:29" ht="14.4" customHeight="1" x14ac:dyDescent="0.3">
      <c r="A28" s="38" t="s">
        <v>27</v>
      </c>
      <c r="B28" s="39" t="e">
        <f t="shared" ca="1" si="12"/>
        <v>#NAME?</v>
      </c>
      <c r="C28" s="47" t="e">
        <f t="shared" ca="1" si="16"/>
        <v>#NAME?</v>
      </c>
      <c r="D28" s="48" t="e">
        <f t="shared" ca="1" si="20"/>
        <v>#NAME?</v>
      </c>
      <c r="E28" s="42" t="e">
        <f t="shared" ca="1" si="13"/>
        <v>#NAME?</v>
      </c>
      <c r="F28" s="42" t="e">
        <f t="shared" ca="1" si="17"/>
        <v>#NAME?</v>
      </c>
      <c r="G28" s="49" t="e">
        <f t="shared" ca="1" si="21"/>
        <v>#NAME?</v>
      </c>
      <c r="H28" s="42" t="e">
        <f t="shared" ca="1" si="14"/>
        <v>#NAME?</v>
      </c>
      <c r="I28" s="42" t="e">
        <f t="shared" ca="1" si="18"/>
        <v>#NAME?</v>
      </c>
      <c r="J28" s="49" t="e">
        <f t="shared" ca="1" si="22"/>
        <v>#NAME?</v>
      </c>
      <c r="K28" s="42" t="e">
        <f t="shared" ca="1" si="15"/>
        <v>#NAME?</v>
      </c>
      <c r="L28" s="42" t="e">
        <f t="shared" ca="1" si="19"/>
        <v>#NAME?</v>
      </c>
      <c r="M28" s="49" t="e">
        <f t="shared" ca="1" si="23"/>
        <v>#NAME?</v>
      </c>
    </row>
    <row r="29" spans="1:29" ht="14.4" customHeight="1" x14ac:dyDescent="0.3">
      <c r="A29" s="38" t="s">
        <v>28</v>
      </c>
      <c r="B29" s="39" t="e">
        <f t="shared" ca="1" si="12"/>
        <v>#NAME?</v>
      </c>
      <c r="C29" s="47" t="e">
        <f t="shared" ca="1" si="16"/>
        <v>#NAME?</v>
      </c>
      <c r="D29" s="48" t="e">
        <f t="shared" ca="1" si="20"/>
        <v>#NAME?</v>
      </c>
      <c r="E29" s="42" t="e">
        <f t="shared" ca="1" si="13"/>
        <v>#NAME?</v>
      </c>
      <c r="F29" s="42" t="e">
        <f t="shared" ca="1" si="17"/>
        <v>#NAME?</v>
      </c>
      <c r="G29" s="49" t="e">
        <f t="shared" ca="1" si="21"/>
        <v>#NAME?</v>
      </c>
      <c r="H29" s="42" t="e">
        <f t="shared" ca="1" si="14"/>
        <v>#NAME?</v>
      </c>
      <c r="I29" s="42" t="e">
        <f t="shared" ca="1" si="18"/>
        <v>#NAME?</v>
      </c>
      <c r="J29" s="49" t="e">
        <f t="shared" ca="1" si="22"/>
        <v>#NAME?</v>
      </c>
      <c r="K29" s="42" t="e">
        <f t="shared" ca="1" si="15"/>
        <v>#NAME?</v>
      </c>
      <c r="L29" s="42" t="e">
        <f t="shared" ca="1" si="19"/>
        <v>#NAME?</v>
      </c>
      <c r="M29" s="49" t="e">
        <f t="shared" ca="1" si="23"/>
        <v>#NAME?</v>
      </c>
    </row>
    <row r="30" spans="1:29" ht="14.4" customHeight="1" x14ac:dyDescent="0.3">
      <c r="A30" s="38" t="s">
        <v>29</v>
      </c>
      <c r="B30" s="39" t="e">
        <f t="shared" ca="1" si="12"/>
        <v>#NAME?</v>
      </c>
      <c r="C30" s="47" t="e">
        <f t="shared" ca="1" si="16"/>
        <v>#NAME?</v>
      </c>
      <c r="D30" s="48" t="e">
        <f t="shared" ca="1" si="20"/>
        <v>#NAME?</v>
      </c>
      <c r="E30" s="42" t="e">
        <f t="shared" ca="1" si="13"/>
        <v>#NAME?</v>
      </c>
      <c r="F30" s="42" t="e">
        <f t="shared" ca="1" si="17"/>
        <v>#NAME?</v>
      </c>
      <c r="G30" s="49" t="e">
        <f t="shared" ca="1" si="21"/>
        <v>#NAME?</v>
      </c>
      <c r="H30" s="42" t="e">
        <f t="shared" ca="1" si="14"/>
        <v>#NAME?</v>
      </c>
      <c r="I30" s="42" t="e">
        <f t="shared" ca="1" si="18"/>
        <v>#NAME?</v>
      </c>
      <c r="J30" s="49" t="e">
        <f t="shared" ca="1" si="22"/>
        <v>#NAME?</v>
      </c>
      <c r="K30" s="42" t="e">
        <f t="shared" ca="1" si="15"/>
        <v>#NAME?</v>
      </c>
      <c r="L30" s="42" t="e">
        <f t="shared" ca="1" si="19"/>
        <v>#NAME?</v>
      </c>
      <c r="M30" s="49" t="e">
        <f t="shared" ca="1" si="23"/>
        <v>#NAME?</v>
      </c>
    </row>
    <row r="31" spans="1:29" ht="14.4" customHeight="1" x14ac:dyDescent="0.3">
      <c r="A31" s="38" t="s">
        <v>30</v>
      </c>
      <c r="B31" s="39" t="e">
        <f t="shared" ca="1" si="12"/>
        <v>#NAME?</v>
      </c>
      <c r="C31" s="47" t="e">
        <f t="shared" ca="1" si="16"/>
        <v>#NAME?</v>
      </c>
      <c r="D31" s="48" t="e">
        <f t="shared" ca="1" si="20"/>
        <v>#NAME?</v>
      </c>
      <c r="E31" s="42" t="e">
        <f t="shared" ca="1" si="13"/>
        <v>#NAME?</v>
      </c>
      <c r="F31" s="42" t="e">
        <f t="shared" ca="1" si="17"/>
        <v>#NAME?</v>
      </c>
      <c r="G31" s="49" t="e">
        <f t="shared" ca="1" si="21"/>
        <v>#NAME?</v>
      </c>
      <c r="H31" s="42" t="e">
        <f t="shared" ca="1" si="14"/>
        <v>#NAME?</v>
      </c>
      <c r="I31" s="42" t="e">
        <f t="shared" ca="1" si="18"/>
        <v>#NAME?</v>
      </c>
      <c r="J31" s="49" t="e">
        <f t="shared" ca="1" si="22"/>
        <v>#NAME?</v>
      </c>
      <c r="K31" s="42" t="e">
        <f t="shared" ca="1" si="15"/>
        <v>#NAME?</v>
      </c>
      <c r="L31" s="42" t="e">
        <f t="shared" ca="1" si="19"/>
        <v>#NAME?</v>
      </c>
      <c r="M31" s="49" t="e">
        <f t="shared" ca="1" si="23"/>
        <v>#NAME?</v>
      </c>
    </row>
    <row r="32" spans="1:29" ht="14.4" customHeight="1" x14ac:dyDescent="0.3">
      <c r="A32" s="38" t="s">
        <v>31</v>
      </c>
      <c r="B32" s="39" t="e">
        <f t="shared" ca="1" si="12"/>
        <v>#NAME?</v>
      </c>
      <c r="C32" s="47" t="e">
        <f t="shared" ca="1" si="16"/>
        <v>#NAME?</v>
      </c>
      <c r="D32" s="48" t="e">
        <f t="shared" ca="1" si="20"/>
        <v>#NAME?</v>
      </c>
      <c r="E32" s="42" t="e">
        <f t="shared" ca="1" si="13"/>
        <v>#NAME?</v>
      </c>
      <c r="F32" s="42" t="e">
        <f t="shared" ca="1" si="17"/>
        <v>#NAME?</v>
      </c>
      <c r="G32" s="49" t="e">
        <f t="shared" ca="1" si="21"/>
        <v>#NAME?</v>
      </c>
      <c r="H32" s="42" t="e">
        <f t="shared" ca="1" si="14"/>
        <v>#NAME?</v>
      </c>
      <c r="I32" s="42" t="e">
        <f t="shared" ca="1" si="18"/>
        <v>#NAME?</v>
      </c>
      <c r="J32" s="49" t="e">
        <f t="shared" ca="1" si="22"/>
        <v>#NAME?</v>
      </c>
      <c r="K32" s="42" t="e">
        <f t="shared" ca="1" si="15"/>
        <v>#NAME?</v>
      </c>
      <c r="L32" s="42" t="e">
        <f t="shared" ca="1" si="19"/>
        <v>#NAME?</v>
      </c>
      <c r="M32" s="49" t="e">
        <f t="shared" ca="1" si="23"/>
        <v>#NAME?</v>
      </c>
    </row>
    <row r="33" spans="1:13" ht="14.4" customHeight="1" x14ac:dyDescent="0.3">
      <c r="A33" s="38" t="s">
        <v>32</v>
      </c>
      <c r="B33" s="39" t="e">
        <f t="shared" ca="1" si="12"/>
        <v>#NAME?</v>
      </c>
      <c r="C33" s="47" t="e">
        <f t="shared" ca="1" si="16"/>
        <v>#NAME?</v>
      </c>
      <c r="D33" s="48" t="e">
        <f t="shared" ca="1" si="20"/>
        <v>#NAME?</v>
      </c>
      <c r="E33" s="42" t="e">
        <f t="shared" ca="1" si="13"/>
        <v>#NAME?</v>
      </c>
      <c r="F33" s="42" t="e">
        <f t="shared" ca="1" si="17"/>
        <v>#NAME?</v>
      </c>
      <c r="G33" s="49" t="e">
        <f t="shared" ca="1" si="21"/>
        <v>#NAME?</v>
      </c>
      <c r="H33" s="42" t="e">
        <f t="shared" ca="1" si="14"/>
        <v>#NAME?</v>
      </c>
      <c r="I33" s="42" t="e">
        <f t="shared" ca="1" si="18"/>
        <v>#NAME?</v>
      </c>
      <c r="J33" s="49" t="e">
        <f t="shared" ca="1" si="22"/>
        <v>#NAME?</v>
      </c>
      <c r="K33" s="42" t="e">
        <f t="shared" ca="1" si="15"/>
        <v>#NAME?</v>
      </c>
      <c r="L33" s="42" t="e">
        <f t="shared" ca="1" si="19"/>
        <v>#NAME?</v>
      </c>
      <c r="M33" s="49" t="e">
        <f t="shared" ca="1" si="23"/>
        <v>#NAME?</v>
      </c>
    </row>
    <row r="34" spans="1:13" ht="14.4" customHeight="1" x14ac:dyDescent="0.3">
      <c r="A34" s="38" t="s">
        <v>33</v>
      </c>
      <c r="B34" s="39" t="e">
        <f t="shared" ca="1" si="12"/>
        <v>#NAME?</v>
      </c>
      <c r="C34" s="47" t="e">
        <f t="shared" ca="1" si="16"/>
        <v>#NAME?</v>
      </c>
      <c r="D34" s="48" t="e">
        <f t="shared" ca="1" si="20"/>
        <v>#NAME?</v>
      </c>
      <c r="E34" s="42" t="e">
        <f t="shared" ca="1" si="13"/>
        <v>#NAME?</v>
      </c>
      <c r="F34" s="42" t="e">
        <f t="shared" ca="1" si="17"/>
        <v>#NAME?</v>
      </c>
      <c r="G34" s="49" t="e">
        <f t="shared" ca="1" si="21"/>
        <v>#NAME?</v>
      </c>
      <c r="H34" s="42" t="e">
        <f t="shared" ca="1" si="14"/>
        <v>#NAME?</v>
      </c>
      <c r="I34" s="42" t="e">
        <f t="shared" ca="1" si="18"/>
        <v>#NAME?</v>
      </c>
      <c r="J34" s="49" t="e">
        <f t="shared" ca="1" si="22"/>
        <v>#NAME?</v>
      </c>
      <c r="K34" s="42" t="e">
        <f t="shared" ca="1" si="15"/>
        <v>#NAME?</v>
      </c>
      <c r="L34" s="42" t="e">
        <f t="shared" ca="1" si="19"/>
        <v>#NAME?</v>
      </c>
      <c r="M34" s="49" t="e">
        <f t="shared" ca="1" si="23"/>
        <v>#NAME?</v>
      </c>
    </row>
    <row r="35" spans="1:13" ht="14.4" customHeight="1" x14ac:dyDescent="0.3">
      <c r="A35" s="50" t="s">
        <v>34</v>
      </c>
      <c r="B35" s="39" t="e">
        <f t="shared" ca="1" si="12"/>
        <v>#NAME?</v>
      </c>
      <c r="C35" s="47" t="e">
        <f t="shared" ca="1" si="16"/>
        <v>#NAME?</v>
      </c>
      <c r="D35" s="48" t="e">
        <f t="shared" ca="1" si="20"/>
        <v>#NAME?</v>
      </c>
      <c r="E35" s="42" t="e">
        <f t="shared" ca="1" si="13"/>
        <v>#NAME?</v>
      </c>
      <c r="F35" s="42" t="e">
        <f t="shared" ca="1" si="17"/>
        <v>#NAME?</v>
      </c>
      <c r="G35" s="49" t="e">
        <f t="shared" ca="1" si="21"/>
        <v>#NAME?</v>
      </c>
      <c r="H35" s="42" t="e">
        <f t="shared" ca="1" si="14"/>
        <v>#NAME?</v>
      </c>
      <c r="I35" s="42" t="e">
        <f t="shared" ca="1" si="18"/>
        <v>#NAME?</v>
      </c>
      <c r="J35" s="49" t="e">
        <f t="shared" ca="1" si="22"/>
        <v>#NAME?</v>
      </c>
      <c r="K35" s="42" t="e">
        <f t="shared" ca="1" si="15"/>
        <v>#NAME?</v>
      </c>
      <c r="L35" s="42" t="e">
        <f t="shared" ca="1" si="19"/>
        <v>#NAME?</v>
      </c>
      <c r="M35" s="49" t="e">
        <f t="shared" ca="1" si="23"/>
        <v>#NAME?</v>
      </c>
    </row>
  </sheetData>
  <mergeCells count="1">
    <mergeCell ref="E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Decile Analysis</vt:lpstr>
      <vt:lpstr>Cohort Analysis</vt:lpstr>
      <vt:lpstr>3 cohort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Аяулым Қабдуали</cp:lastModifiedBy>
  <dcterms:created xsi:type="dcterms:W3CDTF">2026-03-10T20:01:27Z</dcterms:created>
  <dcterms:modified xsi:type="dcterms:W3CDTF">2026-03-11T07:24:00Z</dcterms:modified>
</cp:coreProperties>
</file>